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autoCompressPictures="0"/>
  <mc:AlternateContent xmlns:mc="http://schemas.openxmlformats.org/markup-compatibility/2006">
    <mc:Choice Requires="x15">
      <x15ac:absPath xmlns:x15ac="http://schemas.microsoft.com/office/spreadsheetml/2010/11/ac" url="/Users/vedpandey/Downloads/"/>
    </mc:Choice>
  </mc:AlternateContent>
  <xr:revisionPtr revIDLastSave="0" documentId="13_ncr:1_{0E2D3CBC-5F4A-D546-95D4-C55E90A52B6D}" xr6:coauthVersionLast="47" xr6:coauthVersionMax="47" xr10:uidLastSave="{00000000-0000-0000-0000-000000000000}"/>
  <bookViews>
    <workbookView xWindow="4340" yWindow="500" windowWidth="23260" windowHeight="12460" tabRatio="852" xr2:uid="{00000000-000D-0000-FFFF-FFFF00000000}"/>
  </bookViews>
  <sheets>
    <sheet name="Summary" sheetId="180" r:id="rId1"/>
    <sheet name="A_Dismanteling Works" sheetId="169" r:id="rId2"/>
    <sheet name="B_Civil &amp; Interior Works" sheetId="130" r:id="rId3"/>
    <sheet name="C_HVAC Works" sheetId="176" r:id="rId4"/>
    <sheet name="D_Appliances &amp; Furniture Works" sheetId="132" r:id="rId5"/>
    <sheet name="E_Electrical Works" sheetId="178" r:id="rId6"/>
    <sheet name="F_Terrace Development Works" sheetId="177" r:id="rId7"/>
  </sheets>
  <externalReferences>
    <externalReference r:id="rId8"/>
    <externalReference r:id="rId9"/>
    <externalReference r:id="rId10"/>
    <externalReference r:id="rId11"/>
    <externalReference r:id="rId12"/>
    <externalReference r:id="rId13"/>
  </externalReferences>
  <definedNames>
    <definedName name="_" localSheetId="2">#REF!</definedName>
    <definedName name="_" localSheetId="4">#REF!</definedName>
    <definedName name="_" localSheetId="5">#REF!</definedName>
    <definedName name="_" localSheetId="6">#REF!</definedName>
    <definedName name="_Fill" localSheetId="2" hidden="1">'[1]final abstract'!#REF!</definedName>
    <definedName name="_Fill" localSheetId="4" hidden="1">'[1]final abstract'!#REF!</definedName>
    <definedName name="_Fill" localSheetId="5" hidden="1">'[1]final abstract'!#REF!</definedName>
    <definedName name="_Fill" localSheetId="6" hidden="1">'[1]final abstract'!#REF!</definedName>
    <definedName name="_hy" localSheetId="2" hidden="1">{#N/A,#N/A,TRUE,"Front";#N/A,#N/A,TRUE,"Simple Letter";#N/A,#N/A,TRUE,"Inside";#N/A,#N/A,TRUE,"Contents";#N/A,#N/A,TRUE,"Basis";#N/A,#N/A,TRUE,"Inclusions";#N/A,#N/A,TRUE,"Exclusions";#N/A,#N/A,TRUE,"Areas";#N/A,#N/A,TRUE,"Summary";#N/A,#N/A,TRUE,"Detail"}</definedName>
    <definedName name="_hy" localSheetId="4" hidden="1">{#N/A,#N/A,TRUE,"Front";#N/A,#N/A,TRUE,"Simple Letter";#N/A,#N/A,TRUE,"Inside";#N/A,#N/A,TRUE,"Contents";#N/A,#N/A,TRUE,"Basis";#N/A,#N/A,TRUE,"Inclusions";#N/A,#N/A,TRUE,"Exclusions";#N/A,#N/A,TRUE,"Areas";#N/A,#N/A,TRUE,"Summary";#N/A,#N/A,TRUE,"Detail"}</definedName>
    <definedName name="_hy" localSheetId="5" hidden="1">{#N/A,#N/A,TRUE,"Front";#N/A,#N/A,TRUE,"Simple Letter";#N/A,#N/A,TRUE,"Inside";#N/A,#N/A,TRUE,"Contents";#N/A,#N/A,TRUE,"Basis";#N/A,#N/A,TRUE,"Inclusions";#N/A,#N/A,TRUE,"Exclusions";#N/A,#N/A,TRUE,"Areas";#N/A,#N/A,TRUE,"Summary";#N/A,#N/A,TRUE,"Detail"}</definedName>
    <definedName name="_hy" localSheetId="6" hidden="1">{#N/A,#N/A,TRUE,"Front";#N/A,#N/A,TRUE,"Simple Letter";#N/A,#N/A,TRUE,"Inside";#N/A,#N/A,TRUE,"Contents";#N/A,#N/A,TRUE,"Basis";#N/A,#N/A,TRUE,"Inclusions";#N/A,#N/A,TRUE,"Exclusions";#N/A,#N/A,TRUE,"Areas";#N/A,#N/A,TRUE,"Summary";#N/A,#N/A,TRUE,"Detail"}</definedName>
    <definedName name="_l" localSheetId="2">#REF!</definedName>
    <definedName name="_l" localSheetId="4">#REF!</definedName>
    <definedName name="_l" localSheetId="5">#REF!</definedName>
    <definedName name="_l" localSheetId="6">#REF!</definedName>
    <definedName name="_p" localSheetId="2">#REF!</definedName>
    <definedName name="_p" localSheetId="4">#REF!</definedName>
    <definedName name="_p" localSheetId="5">#REF!</definedName>
    <definedName name="_p" localSheetId="6">#REF!</definedName>
    <definedName name="_Toc458400507_2" localSheetId="2">[2]Version!#REF!</definedName>
    <definedName name="_Toc458400507_2" localSheetId="4">[2]Version!#REF!</definedName>
    <definedName name="_Toc458400507_2" localSheetId="5">[2]Version!#REF!</definedName>
    <definedName name="_Toc458400507_2" localSheetId="6">[2]Version!#REF!</definedName>
    <definedName name="\l" localSheetId="2">#REF!</definedName>
    <definedName name="\l" localSheetId="4">#REF!</definedName>
    <definedName name="\l" localSheetId="5">#REF!</definedName>
    <definedName name="\l" localSheetId="6">#REF!</definedName>
    <definedName name="\p" localSheetId="2">#REF!</definedName>
    <definedName name="\p" localSheetId="4">#REF!</definedName>
    <definedName name="\p" localSheetId="5">#REF!</definedName>
    <definedName name="\p" localSheetId="6">#REF!</definedName>
    <definedName name="A" localSheetId="2">#REF!</definedName>
    <definedName name="A" localSheetId="4">#REF!</definedName>
    <definedName name="A" localSheetId="5">#REF!</definedName>
    <definedName name="A" localSheetId="6">#REF!</definedName>
    <definedName name="abstractEB" localSheetId="2" hidden="1">{#N/A,#N/A,TRUE,"Front";#N/A,#N/A,TRUE,"Simple Letter";#N/A,#N/A,TRUE,"Inside";#N/A,#N/A,TRUE,"Contents";#N/A,#N/A,TRUE,"Basis";#N/A,#N/A,TRUE,"Inclusions";#N/A,#N/A,TRUE,"Exclusions";#N/A,#N/A,TRUE,"Areas";#N/A,#N/A,TRUE,"Summary";#N/A,#N/A,TRUE,"Detail"}</definedName>
    <definedName name="abstractEB" localSheetId="4" hidden="1">{#N/A,#N/A,TRUE,"Front";#N/A,#N/A,TRUE,"Simple Letter";#N/A,#N/A,TRUE,"Inside";#N/A,#N/A,TRUE,"Contents";#N/A,#N/A,TRUE,"Basis";#N/A,#N/A,TRUE,"Inclusions";#N/A,#N/A,TRUE,"Exclusions";#N/A,#N/A,TRUE,"Areas";#N/A,#N/A,TRUE,"Summary";#N/A,#N/A,TRUE,"Detail"}</definedName>
    <definedName name="abstractEB" localSheetId="5" hidden="1">{#N/A,#N/A,TRUE,"Front";#N/A,#N/A,TRUE,"Simple Letter";#N/A,#N/A,TRUE,"Inside";#N/A,#N/A,TRUE,"Contents";#N/A,#N/A,TRUE,"Basis";#N/A,#N/A,TRUE,"Inclusions";#N/A,#N/A,TRUE,"Exclusions";#N/A,#N/A,TRUE,"Areas";#N/A,#N/A,TRUE,"Summary";#N/A,#N/A,TRUE,"Detail"}</definedName>
    <definedName name="abstractEB" localSheetId="6" hidden="1">{#N/A,#N/A,TRUE,"Front";#N/A,#N/A,TRUE,"Simple Letter";#N/A,#N/A,TRUE,"Inside";#N/A,#N/A,TRUE,"Contents";#N/A,#N/A,TRUE,"Basis";#N/A,#N/A,TRUE,"Inclusions";#N/A,#N/A,TRUE,"Exclusions";#N/A,#N/A,TRUE,"Areas";#N/A,#N/A,TRUE,"Summary";#N/A,#N/A,TRUE,"Detail"}</definedName>
    <definedName name="AE" localSheetId="2">#REF!</definedName>
    <definedName name="AE" localSheetId="4">#REF!</definedName>
    <definedName name="AE" localSheetId="5">#REF!</definedName>
    <definedName name="AE" localSheetId="6">#REF!</definedName>
    <definedName name="AgreedTo" localSheetId="2">#REF!</definedName>
    <definedName name="AgreedTo" localSheetId="4">#REF!</definedName>
    <definedName name="AgreedTo" localSheetId="5">#REF!</definedName>
    <definedName name="AgreedTo" localSheetId="6">#REF!</definedName>
    <definedName name="ak" localSheetId="2">#REF!</definedName>
    <definedName name="ak" localSheetId="4">#REF!</definedName>
    <definedName name="ak" localSheetId="5">#REF!</definedName>
    <definedName name="ak" localSheetId="6">#REF!</definedName>
    <definedName name="AllKits" localSheetId="2">#REF!</definedName>
    <definedName name="AllKits" localSheetId="4">#REF!</definedName>
    <definedName name="AllKits" localSheetId="5">#REF!</definedName>
    <definedName name="AllKits" localSheetId="6">#REF!</definedName>
    <definedName name="alok" localSheetId="2">#REF!</definedName>
    <definedName name="alok" localSheetId="4">#REF!</definedName>
    <definedName name="alok" localSheetId="5">#REF!</definedName>
    <definedName name="alok" localSheetId="6">#REF!</definedName>
    <definedName name="app_type" localSheetId="2">#REF!</definedName>
    <definedName name="app_type" localSheetId="4">#REF!</definedName>
    <definedName name="app_type" localSheetId="5">#REF!</definedName>
    <definedName name="app_type" localSheetId="6">#REF!</definedName>
    <definedName name="ar" localSheetId="2">#REF!</definedName>
    <definedName name="ar" localSheetId="4">#REF!</definedName>
    <definedName name="ar" localSheetId="5">#REF!</definedName>
    <definedName name="ar" localSheetId="6">#REF!</definedName>
    <definedName name="BA" localSheetId="2">#REF!</definedName>
    <definedName name="BA" localSheetId="4">#REF!</definedName>
    <definedName name="BA" localSheetId="5">#REF!</definedName>
    <definedName name="BA" localSheetId="6">#REF!</definedName>
    <definedName name="BDlist" localSheetId="2">#REF!</definedName>
    <definedName name="BDlist" localSheetId="4">#REF!</definedName>
    <definedName name="BDlist" localSheetId="5">#REF!</definedName>
    <definedName name="BDlist" localSheetId="6">#REF!</definedName>
    <definedName name="billto_add1" localSheetId="2">#REF!</definedName>
    <definedName name="billto_add1" localSheetId="4">#REF!</definedName>
    <definedName name="billto_add1" localSheetId="5">#REF!</definedName>
    <definedName name="billto_add1" localSheetId="6">#REF!</definedName>
    <definedName name="billto_add2" localSheetId="2">#REF!</definedName>
    <definedName name="billto_add2" localSheetId="4">#REF!</definedName>
    <definedName name="billto_add2" localSheetId="5">#REF!</definedName>
    <definedName name="billto_add2" localSheetId="6">#REF!</definedName>
    <definedName name="billto_citystatezip" localSheetId="2">#REF!</definedName>
    <definedName name="billto_citystatezip" localSheetId="4">#REF!</definedName>
    <definedName name="billto_citystatezip" localSheetId="5">#REF!</definedName>
    <definedName name="billto_citystatezip" localSheetId="6">#REF!</definedName>
    <definedName name="billto_contact" localSheetId="2">#REF!</definedName>
    <definedName name="billto_contact" localSheetId="4">#REF!</definedName>
    <definedName name="billto_contact" localSheetId="5">#REF!</definedName>
    <definedName name="billto_contact" localSheetId="6">#REF!</definedName>
    <definedName name="billto_email" localSheetId="2">#REF!</definedName>
    <definedName name="billto_email" localSheetId="4">#REF!</definedName>
    <definedName name="billto_email" localSheetId="5">#REF!</definedName>
    <definedName name="billto_email" localSheetId="6">#REF!</definedName>
    <definedName name="billto_phone" localSheetId="2">#REF!</definedName>
    <definedName name="billto_phone" localSheetId="4">#REF!</definedName>
    <definedName name="billto_phone" localSheetId="5">#REF!</definedName>
    <definedName name="billto_phone" localSheetId="6">#REF!</definedName>
    <definedName name="billtoemail" localSheetId="2">#REF!</definedName>
    <definedName name="billtoemail" localSheetId="4">#REF!</definedName>
    <definedName name="billtoemail" localSheetId="5">#REF!</definedName>
    <definedName name="billtoemail" localSheetId="6">#REF!</definedName>
    <definedName name="bot_line_amount" localSheetId="2">#REF!</definedName>
    <definedName name="bot_line_amount" localSheetId="4">#REF!</definedName>
    <definedName name="bot_line_amount" localSheetId="5">#REF!</definedName>
    <definedName name="bot_line_amount" localSheetId="6">#REF!</definedName>
    <definedName name="bot_line_message" localSheetId="2">#REF!</definedName>
    <definedName name="bot_line_message" localSheetId="4">#REF!</definedName>
    <definedName name="bot_line_message" localSheetId="5">#REF!</definedName>
    <definedName name="bot_line_message" localSheetId="6">#REF!</definedName>
    <definedName name="CA" localSheetId="2">#REF!</definedName>
    <definedName name="CA" localSheetId="4">#REF!</definedName>
    <definedName name="CA" localSheetId="5">#REF!</definedName>
    <definedName name="CA" localSheetId="6">#REF!</definedName>
    <definedName name="cabinet" localSheetId="2">#REF!</definedName>
    <definedName name="cabinet" localSheetId="4">#REF!</definedName>
    <definedName name="cabinet" localSheetId="5">#REF!</definedName>
    <definedName name="cabinet" localSheetId="6">#REF!</definedName>
    <definedName name="ch_area2_3">NA()</definedName>
    <definedName name="ch_area3_3">NA()</definedName>
    <definedName name="ch_area4_3">NA()</definedName>
    <definedName name="CIRCUITMAINS" localSheetId="2" hidden="1">'[1]final abstract'!#REF!</definedName>
    <definedName name="CIRCUITMAINS" localSheetId="4" hidden="1">'[1]final abstract'!#REF!</definedName>
    <definedName name="CIRCUITMAINS" localSheetId="5" hidden="1">'[1]final abstract'!#REF!</definedName>
    <definedName name="CIRCUITMAINS" localSheetId="6" hidden="1">'[1]final abstract'!#REF!</definedName>
    <definedName name="CiscoPlaybacks" localSheetId="2">[3]Pricelist!#REF!</definedName>
    <definedName name="CiscoPlaybacks" localSheetId="4">[3]Pricelist!#REF!</definedName>
    <definedName name="CiscoPlaybacks" localSheetId="5">[3]Pricelist!#REF!</definedName>
    <definedName name="CiscoPlaybacks" localSheetId="6">[3]Pricelist!#REF!</definedName>
    <definedName name="civil" localSheetId="2" hidden="1">{#N/A,#N/A,TRUE,"Front";#N/A,#N/A,TRUE,"Simple Letter";#N/A,#N/A,TRUE,"Inside";#N/A,#N/A,TRUE,"Contents";#N/A,#N/A,TRUE,"Basis";#N/A,#N/A,TRUE,"Inclusions";#N/A,#N/A,TRUE,"Exclusions";#N/A,#N/A,TRUE,"Areas";#N/A,#N/A,TRUE,"Summary";#N/A,#N/A,TRUE,"Detail"}</definedName>
    <definedName name="civil" localSheetId="4" hidden="1">{#N/A,#N/A,TRUE,"Front";#N/A,#N/A,TRUE,"Simple Letter";#N/A,#N/A,TRUE,"Inside";#N/A,#N/A,TRUE,"Contents";#N/A,#N/A,TRUE,"Basis";#N/A,#N/A,TRUE,"Inclusions";#N/A,#N/A,TRUE,"Exclusions";#N/A,#N/A,TRUE,"Areas";#N/A,#N/A,TRUE,"Summary";#N/A,#N/A,TRUE,"Detail"}</definedName>
    <definedName name="civil" localSheetId="5" hidden="1">{#N/A,#N/A,TRUE,"Front";#N/A,#N/A,TRUE,"Simple Letter";#N/A,#N/A,TRUE,"Inside";#N/A,#N/A,TRUE,"Contents";#N/A,#N/A,TRUE,"Basis";#N/A,#N/A,TRUE,"Inclusions";#N/A,#N/A,TRUE,"Exclusions";#N/A,#N/A,TRUE,"Areas";#N/A,#N/A,TRUE,"Summary";#N/A,#N/A,TRUE,"Detail"}</definedName>
    <definedName name="civil" localSheetId="6" hidden="1">{#N/A,#N/A,TRUE,"Front";#N/A,#N/A,TRUE,"Simple Letter";#N/A,#N/A,TRUE,"Inside";#N/A,#N/A,TRUE,"Contents";#N/A,#N/A,TRUE,"Basis";#N/A,#N/A,TRUE,"Inclusions";#N/A,#N/A,TRUE,"Exclusions";#N/A,#N/A,TRUE,"Areas";#N/A,#N/A,TRUE,"Summary";#N/A,#N/A,TRUE,"Detail"}</definedName>
    <definedName name="company_add1" localSheetId="2">#REF!</definedName>
    <definedName name="company_add1" localSheetId="4">#REF!</definedName>
    <definedName name="company_add1" localSheetId="5">#REF!</definedName>
    <definedName name="company_add1" localSheetId="6">#REF!</definedName>
    <definedName name="company_add2" localSheetId="2">#REF!</definedName>
    <definedName name="company_add2" localSheetId="4">#REF!</definedName>
    <definedName name="company_add2" localSheetId="5">#REF!</definedName>
    <definedName name="company_add2" localSheetId="6">#REF!</definedName>
    <definedName name="company_name" localSheetId="2">#REF!</definedName>
    <definedName name="company_name" localSheetId="4">#REF!</definedName>
    <definedName name="company_name" localSheetId="5">#REF!</definedName>
    <definedName name="company_name" localSheetId="6">#REF!</definedName>
    <definedName name="CU" localSheetId="2">#REF!</definedName>
    <definedName name="CU" localSheetId="4">#REF!</definedName>
    <definedName name="CU" localSheetId="5">#REF!</definedName>
    <definedName name="CU" localSheetId="6">#REF!</definedName>
    <definedName name="cust_sign_line" localSheetId="2">#REF!</definedName>
    <definedName name="cust_sign_line" localSheetId="4">#REF!</definedName>
    <definedName name="cust_sign_line" localSheetId="5">#REF!</definedName>
    <definedName name="cust_sign_line" localSheetId="6">#REF!</definedName>
    <definedName name="customer_name" localSheetId="2">#REF!</definedName>
    <definedName name="customer_name" localSheetId="4">#REF!</definedName>
    <definedName name="customer_name" localSheetId="5">#REF!</definedName>
    <definedName name="customer_name" localSheetId="6">#REF!</definedName>
    <definedName name="customer_status" localSheetId="2">#REF!</definedName>
    <definedName name="customer_status" localSheetId="4">#REF!</definedName>
    <definedName name="customer_status" localSheetId="5">#REF!</definedName>
    <definedName name="customer_status" localSheetId="6">#REF!</definedName>
    <definedName name="dd" localSheetId="2">#REF!</definedName>
    <definedName name="dd" localSheetId="4">#REF!</definedName>
    <definedName name="dd" localSheetId="5">#REF!</definedName>
    <definedName name="dd" localSheetId="6">#REF!</definedName>
    <definedName name="dds" localSheetId="2">#REF!</definedName>
    <definedName name="dds" localSheetId="4">#REF!</definedName>
    <definedName name="dds" localSheetId="5">#REF!</definedName>
    <definedName name="dds" localSheetId="6">#REF!</definedName>
    <definedName name="Disclaimer" localSheetId="2">#REF!</definedName>
    <definedName name="Disclaimer" localSheetId="4">#REF!</definedName>
    <definedName name="Disclaimer" localSheetId="5">#REF!</definedName>
    <definedName name="Disclaimer" localSheetId="6">#REF!</definedName>
    <definedName name="e_3">NA()</definedName>
    <definedName name="ed_svcs_end" localSheetId="2">#REF!</definedName>
    <definedName name="ed_svcs_end" localSheetId="4">#REF!</definedName>
    <definedName name="ed_svcs_end" localSheetId="5">#REF!</definedName>
    <definedName name="ed_svcs_end" localSheetId="6">#REF!</definedName>
    <definedName name="ed_svcs_start" localSheetId="2">#REF!</definedName>
    <definedName name="ed_svcs_start" localSheetId="4">#REF!</definedName>
    <definedName name="ed_svcs_start" localSheetId="5">#REF!</definedName>
    <definedName name="ed_svcs_start" localSheetId="6">#REF!</definedName>
    <definedName name="Effort" localSheetId="2">[4]Background!$V$9:$V$11</definedName>
    <definedName name="EHighside" localSheetId="2">#REF!</definedName>
    <definedName name="EHighside" localSheetId="4">#REF!</definedName>
    <definedName name="EHighside" localSheetId="5">#REF!</definedName>
    <definedName name="EHighside" localSheetId="6">#REF!</definedName>
    <definedName name="Ele" localSheetId="2">#REF!</definedName>
    <definedName name="Ele" localSheetId="4">#REF!</definedName>
    <definedName name="Ele" localSheetId="5">#REF!</definedName>
    <definedName name="Ele" localSheetId="6">#REF!</definedName>
    <definedName name="Electrical1" localSheetId="2">[2]Version!#REF!</definedName>
    <definedName name="Electrical1" localSheetId="4">[2]Version!#REF!</definedName>
    <definedName name="Electrical1" localSheetId="5">[2]Version!#REF!</definedName>
    <definedName name="Electrical1" localSheetId="6">[2]Version!#REF!</definedName>
    <definedName name="EndUserInfo" localSheetId="2">#REF!</definedName>
    <definedName name="EndUserInfo" localSheetId="4">#REF!</definedName>
    <definedName name="EndUserInfo" localSheetId="5">#REF!</definedName>
    <definedName name="EndUserInfo" localSheetId="6">#REF!</definedName>
    <definedName name="EqptID" localSheetId="2">#REF!</definedName>
    <definedName name="EqptID" localSheetId="4">#REF!</definedName>
    <definedName name="EqptID" localSheetId="5">#REF!</definedName>
    <definedName name="EqptID" localSheetId="6">#REF!</definedName>
    <definedName name="EURO" localSheetId="2">#REF!</definedName>
    <definedName name="EURO" localSheetId="4">#REF!</definedName>
    <definedName name="EURO" localSheetId="5">#REF!</definedName>
    <definedName name="EURO" localSheetId="6">#REF!</definedName>
    <definedName name="Ex" localSheetId="2">#REF!</definedName>
    <definedName name="Ex" localSheetId="4">#REF!</definedName>
    <definedName name="Ex" localSheetId="5">#REF!</definedName>
    <definedName name="Ex" localSheetId="6">#REF!</definedName>
    <definedName name="Excel_BuiltIn__FilterDatabase_3">NA()</definedName>
    <definedName name="Excel_BuiltIn__FilterDatabase_5" localSheetId="2">#REF!</definedName>
    <definedName name="Excel_BuiltIn__FilterDatabase_5" localSheetId="4">#REF!</definedName>
    <definedName name="Excel_BuiltIn__FilterDatabase_5" localSheetId="5">#REF!</definedName>
    <definedName name="Excel_BuiltIn__FilterDatabase_5" localSheetId="6">#REF!</definedName>
    <definedName name="Excel_BuiltIn_Print_Area_1" localSheetId="2">#REF!</definedName>
    <definedName name="Excel_BuiltIn_Print_Area_1" localSheetId="4">#REF!</definedName>
    <definedName name="Excel_BuiltIn_Print_Area_1" localSheetId="5">#REF!</definedName>
    <definedName name="Excel_BuiltIn_Print_Area_1" localSheetId="6">#REF!</definedName>
    <definedName name="Excel_BuiltIn_Print_Area_1_1" localSheetId="2">#REF!</definedName>
    <definedName name="Excel_BuiltIn_Print_Area_1_1" localSheetId="4">#REF!</definedName>
    <definedName name="Excel_BuiltIn_Print_Area_1_1" localSheetId="5">#REF!</definedName>
    <definedName name="Excel_BuiltIn_Print_Area_1_1" localSheetId="6">#REF!</definedName>
    <definedName name="Excel_BuiltIn_Print_Area_1_1_1" localSheetId="2">#REF!</definedName>
    <definedName name="Excel_BuiltIn_Print_Area_1_1_1" localSheetId="4">#REF!</definedName>
    <definedName name="Excel_BuiltIn_Print_Area_1_1_1" localSheetId="5">#REF!</definedName>
    <definedName name="Excel_BuiltIn_Print_Area_1_1_1" localSheetId="6">#REF!</definedName>
    <definedName name="Excel_BuiltIn_Print_Area_2" localSheetId="2">#REF!</definedName>
    <definedName name="Excel_BuiltIn_Print_Area_2" localSheetId="4">#REF!</definedName>
    <definedName name="Excel_BuiltIn_Print_Area_2" localSheetId="5">#REF!</definedName>
    <definedName name="Excel_BuiltIn_Print_Area_2" localSheetId="6">#REF!</definedName>
    <definedName name="Excel_BuiltIn_Print_Area_2_1" localSheetId="2">'[5]FA BOQ'!#REF!</definedName>
    <definedName name="Excel_BuiltIn_Print_Area_2_1" localSheetId="4">'[5]FA BOQ'!#REF!</definedName>
    <definedName name="Excel_BuiltIn_Print_Area_2_1" localSheetId="5">'[5]FA BOQ'!#REF!</definedName>
    <definedName name="Excel_BuiltIn_Print_Area_2_1" localSheetId="6">'[5]FA BOQ'!#REF!</definedName>
    <definedName name="Excel_BuiltIn_Print_Area_3" localSheetId="2">#REF!</definedName>
    <definedName name="Excel_BuiltIn_Print_Area_3" localSheetId="4">#REF!</definedName>
    <definedName name="Excel_BuiltIn_Print_Area_3" localSheetId="5">#REF!</definedName>
    <definedName name="Excel_BuiltIn_Print_Area_3" localSheetId="6">#REF!</definedName>
    <definedName name="Excel_BuiltIn_Print_Area_3_1" localSheetId="2">#REF!</definedName>
    <definedName name="Excel_BuiltIn_Print_Area_3_1" localSheetId="4">#REF!</definedName>
    <definedName name="Excel_BuiltIn_Print_Area_3_1" localSheetId="5">#REF!</definedName>
    <definedName name="Excel_BuiltIn_Print_Area_3_1" localSheetId="6">#REF!</definedName>
    <definedName name="Excel_BuiltIn_Print_Area_4_1" localSheetId="2">#REF!</definedName>
    <definedName name="Excel_BuiltIn_Print_Area_4_1" localSheetId="4">#REF!</definedName>
    <definedName name="Excel_BuiltIn_Print_Area_4_1" localSheetId="5">#REF!</definedName>
    <definedName name="Excel_BuiltIn_Print_Area_4_1" localSheetId="6">#REF!</definedName>
    <definedName name="Excel_BuiltIn_Print_Area_9" localSheetId="2">#REF!</definedName>
    <definedName name="Excel_BuiltIn_Print_Area_9" localSheetId="4">#REF!</definedName>
    <definedName name="Excel_BuiltIn_Print_Area_9" localSheetId="5">#REF!</definedName>
    <definedName name="Excel_BuiltIn_Print_Area_9" localSheetId="6">#REF!</definedName>
    <definedName name="Excel_BuiltIn_Print_Titles" localSheetId="2">#REF!</definedName>
    <definedName name="Excel_BuiltIn_Print_Titles" localSheetId="4">#REF!</definedName>
    <definedName name="Excel_BuiltIn_Print_Titles" localSheetId="5">#REF!</definedName>
    <definedName name="Excel_BuiltIn_Print_Titles" localSheetId="6">#REF!</definedName>
    <definedName name="Excel_BuiltIn_Print_Titles_1" localSheetId="2">#REF!</definedName>
    <definedName name="Excel_BuiltIn_Print_Titles_1" localSheetId="4">#REF!</definedName>
    <definedName name="Excel_BuiltIn_Print_Titles_1" localSheetId="5">#REF!</definedName>
    <definedName name="Excel_BuiltIn_Print_Titles_1" localSheetId="6">#REF!</definedName>
    <definedName name="Excel_BuiltIn_Print_Titles_1_1" localSheetId="2">#REF!</definedName>
    <definedName name="Excel_BuiltIn_Print_Titles_1_1" localSheetId="4">#REF!</definedName>
    <definedName name="Excel_BuiltIn_Print_Titles_1_1" localSheetId="5">#REF!</definedName>
    <definedName name="Excel_BuiltIn_Print_Titles_1_1" localSheetId="6">#REF!</definedName>
    <definedName name="Excel_BuiltIn_Print_Titles_2" localSheetId="2">#REF!</definedName>
    <definedName name="Excel_BuiltIn_Print_Titles_2" localSheetId="4">#REF!</definedName>
    <definedName name="Excel_BuiltIn_Print_Titles_2" localSheetId="5">#REF!</definedName>
    <definedName name="Excel_BuiltIn_Print_Titles_2" localSheetId="6">#REF!</definedName>
    <definedName name="Excel_BuiltIn_Print_Titles_2_1" localSheetId="2">#REF!</definedName>
    <definedName name="Excel_BuiltIn_Print_Titles_2_1" localSheetId="4">#REF!</definedName>
    <definedName name="Excel_BuiltIn_Print_Titles_2_1" localSheetId="5">#REF!</definedName>
    <definedName name="Excel_BuiltIn_Print_Titles_2_1" localSheetId="6">#REF!</definedName>
    <definedName name="Excel_BuiltIn_Print_Titles_4" localSheetId="2">#REF!</definedName>
    <definedName name="Excel_BuiltIn_Print_Titles_4" localSheetId="4">#REF!</definedName>
    <definedName name="Excel_BuiltIn_Print_Titles_4" localSheetId="5">#REF!</definedName>
    <definedName name="Excel_BuiltIn_Print_Titles_4" localSheetId="6">#REF!</definedName>
    <definedName name="Excel_BuiltIn_Print_Titles_5" localSheetId="2">'[6]G.1-AV SYSTEM'!#REF!</definedName>
    <definedName name="Excel_BuiltIn_Print_Titles_5" localSheetId="4">'[6]G.1-AV SYSTEM'!#REF!</definedName>
    <definedName name="Excel_BuiltIn_Print_Titles_5" localSheetId="5">'[6]G.1-AV SYSTEM'!#REF!</definedName>
    <definedName name="Excel_BuiltIn_Print_Titles_5" localSheetId="6">'[6]G.1-AV SYSTEM'!#REF!</definedName>
    <definedName name="Excel_BuiltIn_Print_Titles_6" localSheetId="2">#REF!</definedName>
    <definedName name="Excel_BuiltIn_Print_Titles_6" localSheetId="4">#REF!</definedName>
    <definedName name="Excel_BuiltIn_Print_Titles_6" localSheetId="5">#REF!</definedName>
    <definedName name="Excel_BuiltIn_Print_Titles_6" localSheetId="6">#REF!</definedName>
    <definedName name="ExtEmulLogger" localSheetId="2">[3]Pricelist!#REF!</definedName>
    <definedName name="ExtEmulLogger" localSheetId="4">[3]Pricelist!#REF!</definedName>
    <definedName name="ExtEmulLogger" localSheetId="5">[3]Pricelist!#REF!</definedName>
    <definedName name="ExtEmulLogger" localSheetId="6">[3]Pricelist!#REF!</definedName>
    <definedName name="fdgdf" localSheetId="2">#REF!</definedName>
    <definedName name="fdgdf" localSheetId="4">#REF!</definedName>
    <definedName name="fdgdf" localSheetId="5">#REF!</definedName>
    <definedName name="fdgdf" localSheetId="6">#REF!</definedName>
    <definedName name="ff" localSheetId="2">#REF!</definedName>
    <definedName name="ff" localSheetId="4">#REF!</definedName>
    <definedName name="ff" localSheetId="5">#REF!</definedName>
    <definedName name="ff" localSheetId="6">#REF!</definedName>
    <definedName name="fghh" localSheetId="2">#REF!</definedName>
    <definedName name="fghh" localSheetId="4">#REF!</definedName>
    <definedName name="fghh" localSheetId="5">#REF!</definedName>
    <definedName name="fghh" localSheetId="6">#REF!</definedName>
    <definedName name="Focus" localSheetId="2">[3]Pricelist!#REF!</definedName>
    <definedName name="Focus" localSheetId="4">[3]Pricelist!#REF!</definedName>
    <definedName name="Focus" localSheetId="5">[3]Pricelist!#REF!</definedName>
    <definedName name="Focus" localSheetId="6">[3]Pricelist!#REF!</definedName>
    <definedName name="formnote1" localSheetId="2">#REF!</definedName>
    <definedName name="formnote1" localSheetId="4">#REF!</definedName>
    <definedName name="formnote1" localSheetId="5">#REF!</definedName>
    <definedName name="formnote1" localSheetId="6">#REF!</definedName>
    <definedName name="formnote2" localSheetId="2">#REF!</definedName>
    <definedName name="formnote2" localSheetId="4">#REF!</definedName>
    <definedName name="formnote2" localSheetId="5">#REF!</definedName>
    <definedName name="formnote2" localSheetId="6">#REF!</definedName>
    <definedName name="formnote3" localSheetId="2">#REF!</definedName>
    <definedName name="formnote3" localSheetId="4">#REF!</definedName>
    <definedName name="formnote3" localSheetId="5">#REF!</definedName>
    <definedName name="formnote3" localSheetId="6">#REF!</definedName>
    <definedName name="formnote4" localSheetId="2">#REF!</definedName>
    <definedName name="formnote4" localSheetId="4">#REF!</definedName>
    <definedName name="formnote4" localSheetId="5">#REF!</definedName>
    <definedName name="formnote4" localSheetId="6">#REF!</definedName>
    <definedName name="Funding" localSheetId="2">[4]Background!$L$9:$L$11</definedName>
    <definedName name="gdfgf" localSheetId="2">#REF!</definedName>
    <definedName name="gdfgf" localSheetId="4">#REF!</definedName>
    <definedName name="gdfgf" localSheetId="5">#REF!</definedName>
    <definedName name="gdfgf" localSheetId="6">#REF!</definedName>
    <definedName name="GES_Table" localSheetId="2">#REF!</definedName>
    <definedName name="GES_Table" localSheetId="4">#REF!</definedName>
    <definedName name="GES_Table" localSheetId="5">#REF!</definedName>
    <definedName name="GES_Table" localSheetId="6">#REF!</definedName>
    <definedName name="GI" localSheetId="2">#REF!</definedName>
    <definedName name="GI" localSheetId="4">#REF!</definedName>
    <definedName name="GI" localSheetId="5">#REF!</definedName>
    <definedName name="GI" localSheetId="6">#REF!</definedName>
    <definedName name="gro" localSheetId="2">#REF!</definedName>
    <definedName name="gro" localSheetId="4">#REF!</definedName>
    <definedName name="gro" localSheetId="5">#REF!</definedName>
    <definedName name="gro" localSheetId="6">#REF!</definedName>
    <definedName name="HSimenseLogger" localSheetId="2">[3]Pricelist!#REF!</definedName>
    <definedName name="HSimenseLogger" localSheetId="4">[3]Pricelist!#REF!</definedName>
    <definedName name="HSimenseLogger" localSheetId="5">[3]Pricelist!#REF!</definedName>
    <definedName name="HSimenseLogger" localSheetId="6">[3]Pricelist!#REF!</definedName>
    <definedName name="hw_end" localSheetId="2">#REF!</definedName>
    <definedName name="hw_end" localSheetId="4">#REF!</definedName>
    <definedName name="hw_end" localSheetId="5">#REF!</definedName>
    <definedName name="hw_end" localSheetId="6">#REF!</definedName>
    <definedName name="hw_start" localSheetId="2">#REF!</definedName>
    <definedName name="hw_start" localSheetId="4">#REF!</definedName>
    <definedName name="hw_start" localSheetId="5">#REF!</definedName>
    <definedName name="hw_start" localSheetId="6">#REF!</definedName>
    <definedName name="hy" localSheetId="2" hidden="1">{#N/A,#N/A,TRUE,"Front";#N/A,#N/A,TRUE,"Simple Letter";#N/A,#N/A,TRUE,"Inside";#N/A,#N/A,TRUE,"Contents";#N/A,#N/A,TRUE,"Basis";#N/A,#N/A,TRUE,"Inclusions";#N/A,#N/A,TRUE,"Exclusions";#N/A,#N/A,TRUE,"Areas";#N/A,#N/A,TRUE,"Summary";#N/A,#N/A,TRUE,"Detail"}</definedName>
    <definedName name="hy" localSheetId="4" hidden="1">{#N/A,#N/A,TRUE,"Front";#N/A,#N/A,TRUE,"Simple Letter";#N/A,#N/A,TRUE,"Inside";#N/A,#N/A,TRUE,"Contents";#N/A,#N/A,TRUE,"Basis";#N/A,#N/A,TRUE,"Inclusions";#N/A,#N/A,TRUE,"Exclusions";#N/A,#N/A,TRUE,"Areas";#N/A,#N/A,TRUE,"Summary";#N/A,#N/A,TRUE,"Detail"}</definedName>
    <definedName name="hy" localSheetId="5" hidden="1">{#N/A,#N/A,TRUE,"Front";#N/A,#N/A,TRUE,"Simple Letter";#N/A,#N/A,TRUE,"Inside";#N/A,#N/A,TRUE,"Contents";#N/A,#N/A,TRUE,"Basis";#N/A,#N/A,TRUE,"Inclusions";#N/A,#N/A,TRUE,"Exclusions";#N/A,#N/A,TRUE,"Areas";#N/A,#N/A,TRUE,"Summary";#N/A,#N/A,TRUE,"Detail"}</definedName>
    <definedName name="hy" localSheetId="6" hidden="1">{#N/A,#N/A,TRUE,"Front";#N/A,#N/A,TRUE,"Simple Letter";#N/A,#N/A,TRUE,"Inside";#N/A,#N/A,TRUE,"Contents";#N/A,#N/A,TRUE,"Basis";#N/A,#N/A,TRUE,"Inclusions";#N/A,#N/A,TRUE,"Exclusions";#N/A,#N/A,TRUE,"Areas";#N/A,#N/A,TRUE,"Summary";#N/A,#N/A,TRUE,"Detail"}</definedName>
    <definedName name="imp_end" localSheetId="2">#REF!</definedName>
    <definedName name="imp_end" localSheetId="4">#REF!</definedName>
    <definedName name="imp_end" localSheetId="5">#REF!</definedName>
    <definedName name="imp_end" localSheetId="6">#REF!</definedName>
    <definedName name="imp_start" localSheetId="2">#REF!</definedName>
    <definedName name="imp_start" localSheetId="4">#REF!</definedName>
    <definedName name="imp_start" localSheetId="5">#REF!</definedName>
    <definedName name="imp_start" localSheetId="6">#REF!</definedName>
    <definedName name="installto_add1" localSheetId="2">#REF!</definedName>
    <definedName name="installto_add1" localSheetId="4">#REF!</definedName>
    <definedName name="installto_add1" localSheetId="5">#REF!</definedName>
    <definedName name="installto_add1" localSheetId="6">#REF!</definedName>
    <definedName name="installto_add2" localSheetId="2">#REF!</definedName>
    <definedName name="installto_add2" localSheetId="4">#REF!</definedName>
    <definedName name="installto_add2" localSheetId="5">#REF!</definedName>
    <definedName name="installto_add2" localSheetId="6">#REF!</definedName>
    <definedName name="installto_citystatezip" localSheetId="2">#REF!</definedName>
    <definedName name="installto_citystatezip" localSheetId="4">#REF!</definedName>
    <definedName name="installto_citystatezip" localSheetId="5">#REF!</definedName>
    <definedName name="installto_citystatezip" localSheetId="6">#REF!</definedName>
    <definedName name="installto_contact" localSheetId="2">#REF!</definedName>
    <definedName name="installto_contact" localSheetId="4">#REF!</definedName>
    <definedName name="installto_contact" localSheetId="5">#REF!</definedName>
    <definedName name="installto_contact" localSheetId="6">#REF!</definedName>
    <definedName name="installto_phone" localSheetId="2">#REF!</definedName>
    <definedName name="installto_phone" localSheetId="4">#REF!</definedName>
    <definedName name="installto_phone" localSheetId="5">#REF!</definedName>
    <definedName name="installto_phone" localSheetId="6">#REF!</definedName>
    <definedName name="K" localSheetId="2">#REF!</definedName>
    <definedName name="K" localSheetId="4">#REF!</definedName>
    <definedName name="K" localSheetId="5">#REF!</definedName>
    <definedName name="K" localSheetId="6">#REF!</definedName>
    <definedName name="KitsBDitems" localSheetId="2">#REF!</definedName>
    <definedName name="KitsBDitems" localSheetId="4">#REF!</definedName>
    <definedName name="KitsBDitems" localSheetId="5">#REF!</definedName>
    <definedName name="KitsBDitems" localSheetId="6">#REF!</definedName>
    <definedName name="KitsCost" localSheetId="2">#REF!</definedName>
    <definedName name="KitsCost" localSheetId="4">#REF!</definedName>
    <definedName name="KitsCost" localSheetId="5">#REF!</definedName>
    <definedName name="KitsCost" localSheetId="6">#REF!</definedName>
    <definedName name="KitsItems" localSheetId="2">#REF!</definedName>
    <definedName name="KitsItems" localSheetId="4">#REF!</definedName>
    <definedName name="KitsItems" localSheetId="5">#REF!</definedName>
    <definedName name="KitsItems" localSheetId="6">#REF!</definedName>
    <definedName name="kp" localSheetId="2" hidden="1">{#N/A,#N/A,TRUE,"Front";#N/A,#N/A,TRUE,"Simple Letter";#N/A,#N/A,TRUE,"Inside";#N/A,#N/A,TRUE,"Contents";#N/A,#N/A,TRUE,"Basis";#N/A,#N/A,TRUE,"Inclusions";#N/A,#N/A,TRUE,"Exclusions";#N/A,#N/A,TRUE,"Areas";#N/A,#N/A,TRUE,"Summary";#N/A,#N/A,TRUE,"Detail"}</definedName>
    <definedName name="kp" localSheetId="4" hidden="1">{#N/A,#N/A,TRUE,"Front";#N/A,#N/A,TRUE,"Simple Letter";#N/A,#N/A,TRUE,"Inside";#N/A,#N/A,TRUE,"Contents";#N/A,#N/A,TRUE,"Basis";#N/A,#N/A,TRUE,"Inclusions";#N/A,#N/A,TRUE,"Exclusions";#N/A,#N/A,TRUE,"Areas";#N/A,#N/A,TRUE,"Summary";#N/A,#N/A,TRUE,"Detail"}</definedName>
    <definedName name="kp" localSheetId="5" hidden="1">{#N/A,#N/A,TRUE,"Front";#N/A,#N/A,TRUE,"Simple Letter";#N/A,#N/A,TRUE,"Inside";#N/A,#N/A,TRUE,"Contents";#N/A,#N/A,TRUE,"Basis";#N/A,#N/A,TRUE,"Inclusions";#N/A,#N/A,TRUE,"Exclusions";#N/A,#N/A,TRUE,"Areas";#N/A,#N/A,TRUE,"Summary";#N/A,#N/A,TRUE,"Detail"}</definedName>
    <definedName name="kp" localSheetId="6" hidden="1">{#N/A,#N/A,TRUE,"Front";#N/A,#N/A,TRUE,"Simple Letter";#N/A,#N/A,TRUE,"Inside";#N/A,#N/A,TRUE,"Contents";#N/A,#N/A,TRUE,"Basis";#N/A,#N/A,TRUE,"Inclusions";#N/A,#N/A,TRUE,"Exclusions";#N/A,#N/A,TRUE,"Areas";#N/A,#N/A,TRUE,"Summary";#N/A,#N/A,TRUE,"Detail"}</definedName>
    <definedName name="maint_end" localSheetId="2">#REF!</definedName>
    <definedName name="maint_end" localSheetId="4">#REF!</definedName>
    <definedName name="maint_end" localSheetId="5">#REF!</definedName>
    <definedName name="maint_end" localSheetId="6">#REF!</definedName>
    <definedName name="maint_start" localSheetId="2">#REF!</definedName>
    <definedName name="maint_start" localSheetId="4">#REF!</definedName>
    <definedName name="maint_start" localSheetId="5">#REF!</definedName>
    <definedName name="maint_start" localSheetId="6">#REF!</definedName>
    <definedName name="MirraDeck" localSheetId="2">[3]Pricelist!#REF!</definedName>
    <definedName name="MirraDeck" localSheetId="4">[3]Pricelist!#REF!</definedName>
    <definedName name="MirraDeck" localSheetId="5">[3]Pricelist!#REF!</definedName>
    <definedName name="MirraDeck" localSheetId="6">[3]Pricelist!#REF!</definedName>
    <definedName name="MirraInterface" localSheetId="2">[3]Pricelist!#REF!</definedName>
    <definedName name="MirraInterface" localSheetId="4">[3]Pricelist!#REF!</definedName>
    <definedName name="MirraInterface" localSheetId="5">[3]Pricelist!#REF!</definedName>
    <definedName name="MirraInterface" localSheetId="6">[3]Pricelist!#REF!</definedName>
    <definedName name="MU" localSheetId="2">#REF!</definedName>
    <definedName name="MU" localSheetId="4">#REF!</definedName>
    <definedName name="MU" localSheetId="5">#REF!</definedName>
    <definedName name="MU" localSheetId="6">#REF!</definedName>
    <definedName name="Multimedia" localSheetId="2">[3]Pricelist!#REF!</definedName>
    <definedName name="Multimedia" localSheetId="4">[3]Pricelist!#REF!</definedName>
    <definedName name="Multimedia" localSheetId="5">[3]Pricelist!#REF!</definedName>
    <definedName name="Multimedia" localSheetId="6">[3]Pricelist!#REF!</definedName>
    <definedName name="NAinterface" localSheetId="2">[3]Pricelist!#REF!</definedName>
    <definedName name="NAinterface" localSheetId="4">[3]Pricelist!#REF!</definedName>
    <definedName name="NAinterface" localSheetId="5">[3]Pricelist!#REF!</definedName>
    <definedName name="NAinterface" localSheetId="6">[3]Pricelist!#REF!</definedName>
    <definedName name="net_total" localSheetId="2">#REF!</definedName>
    <definedName name="net_total" localSheetId="4">#REF!</definedName>
    <definedName name="net_total" localSheetId="5">#REF!</definedName>
    <definedName name="net_total" localSheetId="6">#REF!</definedName>
    <definedName name="net_total_message" localSheetId="2">#REF!</definedName>
    <definedName name="net_total_message" localSheetId="4">#REF!</definedName>
    <definedName name="net_total_message" localSheetId="5">#REF!</definedName>
    <definedName name="net_total_message" localSheetId="6">#REF!</definedName>
    <definedName name="PLitems" localSheetId="2">#REF!</definedName>
    <definedName name="PLitems" localSheetId="4">#REF!</definedName>
    <definedName name="PLitems" localSheetId="5">#REF!</definedName>
    <definedName name="PLitems" localSheetId="6">#REF!</definedName>
    <definedName name="_xlnm.Print_Area" localSheetId="1">'A_Dismanteling Works'!$A$2:$G$10</definedName>
    <definedName name="_xlnm.Print_Area" localSheetId="2">'B_Civil &amp; Interior Works'!$A$2:$G$15</definedName>
    <definedName name="_xlnm.Print_Area" localSheetId="3">'C_HVAC Works'!$A$2:$G$9</definedName>
    <definedName name="_xlnm.Print_Area" localSheetId="4">'D_Appliances &amp; Furniture Works'!$A$2:$G$25</definedName>
    <definedName name="_xlnm.Print_Area" localSheetId="5">'E_Electrical Works'!$A$2:$G$7</definedName>
    <definedName name="_xlnm.Print_Area" localSheetId="6">'F_Terrace Development Works'!$A$2:$G$7</definedName>
    <definedName name="_xlnm.Print_Area">#REF!</definedName>
    <definedName name="Print_Area_MI" localSheetId="2">#REF!</definedName>
    <definedName name="Print_Area_MI" localSheetId="4">#REF!</definedName>
    <definedName name="Print_Area_MI" localSheetId="5">#REF!</definedName>
    <definedName name="Print_Area_MI" localSheetId="6">#REF!</definedName>
    <definedName name="_xlnm.Print_Titles" localSheetId="4">'D_Appliances &amp; Furniture Works'!$2:$3</definedName>
    <definedName name="_xlnm.Print_Titles" localSheetId="5">'E_Electrical Works'!$2:$3</definedName>
    <definedName name="_xlnm.Print_Titles" localSheetId="6">'F_Terrace Development Works'!$2:$3</definedName>
    <definedName name="product_discount" localSheetId="2">#REF!</definedName>
    <definedName name="product_discount" localSheetId="4">#REF!</definedName>
    <definedName name="product_discount" localSheetId="5">#REF!</definedName>
    <definedName name="product_discount" localSheetId="6">#REF!</definedName>
    <definedName name="product_end" localSheetId="2">#REF!</definedName>
    <definedName name="product_end" localSheetId="4">#REF!</definedName>
    <definedName name="product_end" localSheetId="5">#REF!</definedName>
    <definedName name="product_end" localSheetId="6">#REF!</definedName>
    <definedName name="product_nettotal" localSheetId="2">#REF!</definedName>
    <definedName name="product_nettotal" localSheetId="4">#REF!</definedName>
    <definedName name="product_nettotal" localSheetId="5">#REF!</definedName>
    <definedName name="product_nettotal" localSheetId="6">#REF!</definedName>
    <definedName name="product_start" localSheetId="2">#REF!</definedName>
    <definedName name="product_start" localSheetId="4">#REF!</definedName>
    <definedName name="product_start" localSheetId="5">#REF!</definedName>
    <definedName name="product_start" localSheetId="6">#REF!</definedName>
    <definedName name="product_subtotal" localSheetId="2">#REF!</definedName>
    <definedName name="product_subtotal" localSheetId="4">#REF!</definedName>
    <definedName name="product_subtotal" localSheetId="5">#REF!</definedName>
    <definedName name="product_subtotal" localSheetId="6">#REF!</definedName>
    <definedName name="prof_svcs_end" localSheetId="2">#REF!</definedName>
    <definedName name="prof_svcs_end" localSheetId="4">#REF!</definedName>
    <definedName name="prof_svcs_end" localSheetId="5">#REF!</definedName>
    <definedName name="prof_svcs_end" localSheetId="6">#REF!</definedName>
    <definedName name="prof_svcs_start" localSheetId="2">#REF!</definedName>
    <definedName name="prof_svcs_start" localSheetId="4">#REF!</definedName>
    <definedName name="prof_svcs_start" localSheetId="5">#REF!</definedName>
    <definedName name="prof_svcs_start" localSheetId="6">#REF!</definedName>
    <definedName name="PSNOTE1" localSheetId="2">#REF!</definedName>
    <definedName name="PSNOTE1" localSheetId="4">#REF!</definedName>
    <definedName name="PSNOTE1" localSheetId="5">#REF!</definedName>
    <definedName name="PSNOTE1" localSheetId="6">#REF!</definedName>
    <definedName name="PSNOTE2" localSheetId="2">#REF!</definedName>
    <definedName name="PSNOTE2" localSheetId="4">#REF!</definedName>
    <definedName name="PSNOTE2" localSheetId="5">#REF!</definedName>
    <definedName name="PSNOTE2" localSheetId="6">#REF!</definedName>
    <definedName name="PSNOTE3" localSheetId="2">#REF!</definedName>
    <definedName name="PSNOTE3" localSheetId="4">#REF!</definedName>
    <definedName name="PSNOTE3" localSheetId="5">#REF!</definedName>
    <definedName name="PSNOTE3" localSheetId="6">#REF!</definedName>
    <definedName name="PT" localSheetId="2">#REF!</definedName>
    <definedName name="PT" localSheetId="4">#REF!</definedName>
    <definedName name="PT" localSheetId="5">#REF!</definedName>
    <definedName name="PT" localSheetId="6">#REF!</definedName>
    <definedName name="quote_date" localSheetId="2">#REF!</definedName>
    <definedName name="quote_date" localSheetId="4">#REF!</definedName>
    <definedName name="quote_date" localSheetId="5">#REF!</definedName>
    <definedName name="quote_date" localSheetId="6">#REF!</definedName>
    <definedName name="region_type" localSheetId="2">#REF!</definedName>
    <definedName name="region_type" localSheetId="4">#REF!</definedName>
    <definedName name="region_type" localSheetId="5">#REF!</definedName>
    <definedName name="region_type" localSheetId="6">#REF!</definedName>
    <definedName name="request_delivery" localSheetId="2">#REF!</definedName>
    <definedName name="request_delivery" localSheetId="4">#REF!</definedName>
    <definedName name="request_delivery" localSheetId="5">#REF!</definedName>
    <definedName name="request_delivery" localSheetId="6">#REF!</definedName>
    <definedName name="SAZlink" localSheetId="2">[3]Pricelist!#REF!</definedName>
    <definedName name="SAZlink" localSheetId="4">[3]Pricelist!#REF!</definedName>
    <definedName name="SAZlink" localSheetId="5">[3]Pricelist!#REF!</definedName>
    <definedName name="SAZlink" localSheetId="6">[3]Pricelist!#REF!</definedName>
    <definedName name="SC" localSheetId="2">#REF!</definedName>
    <definedName name="SC" localSheetId="4">#REF!</definedName>
    <definedName name="SC" localSheetId="5">#REF!</definedName>
    <definedName name="SC" localSheetId="6">#REF!</definedName>
    <definedName name="SIGLINE1" localSheetId="2">#REF!</definedName>
    <definedName name="SIGLINE1" localSheetId="4">#REF!</definedName>
    <definedName name="SIGLINE1" localSheetId="5">#REF!</definedName>
    <definedName name="SIGLINE1" localSheetId="6">#REF!</definedName>
    <definedName name="SIGLINE2" localSheetId="2">#REF!</definedName>
    <definedName name="SIGLINE2" localSheetId="4">#REF!</definedName>
    <definedName name="SIGLINE2" localSheetId="5">#REF!</definedName>
    <definedName name="SIGLINE2" localSheetId="6">#REF!</definedName>
    <definedName name="SIGLINE3" localSheetId="2">#REF!</definedName>
    <definedName name="SIGLINE3" localSheetId="4">#REF!</definedName>
    <definedName name="SIGLINE3" localSheetId="5">#REF!</definedName>
    <definedName name="SIGLINE3" localSheetId="6">#REF!</definedName>
    <definedName name="SIGLINE4" localSheetId="2">#REF!</definedName>
    <definedName name="SIGLINE4" localSheetId="4">#REF!</definedName>
    <definedName name="SIGLINE4" localSheetId="5">#REF!</definedName>
    <definedName name="SIGLINE4" localSheetId="6">#REF!</definedName>
    <definedName name="SL" localSheetId="2">#REF!</definedName>
    <definedName name="SL" localSheetId="4">#REF!</definedName>
    <definedName name="SL" localSheetId="5">#REF!</definedName>
    <definedName name="SL" localSheetId="6">#REF!</definedName>
    <definedName name="SUMMAINT" localSheetId="2">#REF!</definedName>
    <definedName name="SUMMAINT" localSheetId="4">#REF!</definedName>
    <definedName name="SUMMAINT" localSheetId="5">#REF!</definedName>
    <definedName name="SUMMAINT" localSheetId="6">#REF!</definedName>
    <definedName name="SUMPROD" localSheetId="2">#REF!</definedName>
    <definedName name="SUMPROD" localSheetId="4">#REF!</definedName>
    <definedName name="SUMPROD" localSheetId="5">#REF!</definedName>
    <definedName name="SUMPROD" localSheetId="6">#REF!</definedName>
    <definedName name="SUMSERV" localSheetId="2">#REF!</definedName>
    <definedName name="SUMSERV" localSheetId="4">#REF!</definedName>
    <definedName name="SUMSERV" localSheetId="5">#REF!</definedName>
    <definedName name="SUMSERV" localSheetId="6">#REF!</definedName>
    <definedName name="SUMTOTAL" localSheetId="2">#REF!</definedName>
    <definedName name="SUMTOTAL" localSheetId="4">#REF!</definedName>
    <definedName name="SUMTOTAL" localSheetId="5">#REF!</definedName>
    <definedName name="SUMTOTAL" localSheetId="6">#REF!</definedName>
    <definedName name="Suppliers" localSheetId="2">[4]Background!$K$9:$K$15</definedName>
    <definedName name="temp" localSheetId="2" hidden="1">{#N/A,#N/A,TRUE,"Front";#N/A,#N/A,TRUE,"Simple Letter";#N/A,#N/A,TRUE,"Inside";#N/A,#N/A,TRUE,"Contents";#N/A,#N/A,TRUE,"Basis";#N/A,#N/A,TRUE,"Inclusions";#N/A,#N/A,TRUE,"Exclusions";#N/A,#N/A,TRUE,"Areas";#N/A,#N/A,TRUE,"Summary";#N/A,#N/A,TRUE,"Detail"}</definedName>
    <definedName name="temp" localSheetId="4" hidden="1">{#N/A,#N/A,TRUE,"Front";#N/A,#N/A,TRUE,"Simple Letter";#N/A,#N/A,TRUE,"Inside";#N/A,#N/A,TRUE,"Contents";#N/A,#N/A,TRUE,"Basis";#N/A,#N/A,TRUE,"Inclusions";#N/A,#N/A,TRUE,"Exclusions";#N/A,#N/A,TRUE,"Areas";#N/A,#N/A,TRUE,"Summary";#N/A,#N/A,TRUE,"Detail"}</definedName>
    <definedName name="temp" localSheetId="5" hidden="1">{#N/A,#N/A,TRUE,"Front";#N/A,#N/A,TRUE,"Simple Letter";#N/A,#N/A,TRUE,"Inside";#N/A,#N/A,TRUE,"Contents";#N/A,#N/A,TRUE,"Basis";#N/A,#N/A,TRUE,"Inclusions";#N/A,#N/A,TRUE,"Exclusions";#N/A,#N/A,TRUE,"Areas";#N/A,#N/A,TRUE,"Summary";#N/A,#N/A,TRUE,"Detail"}</definedName>
    <definedName name="temp" localSheetId="6" hidden="1">{#N/A,#N/A,TRUE,"Front";#N/A,#N/A,TRUE,"Simple Letter";#N/A,#N/A,TRUE,"Inside";#N/A,#N/A,TRUE,"Contents";#N/A,#N/A,TRUE,"Basis";#N/A,#N/A,TRUE,"Inclusions";#N/A,#N/A,TRUE,"Exclusions";#N/A,#N/A,TRUE,"Areas";#N/A,#N/A,TRUE,"Summary";#N/A,#N/A,TRUE,"Detail"}</definedName>
    <definedName name="temp1" localSheetId="2" hidden="1">{#N/A,#N/A,TRUE,"Front";#N/A,#N/A,TRUE,"Simple Letter";#N/A,#N/A,TRUE,"Inside";#N/A,#N/A,TRUE,"Contents";#N/A,#N/A,TRUE,"Basis";#N/A,#N/A,TRUE,"Inclusions";#N/A,#N/A,TRUE,"Exclusions";#N/A,#N/A,TRUE,"Areas";#N/A,#N/A,TRUE,"Summary";#N/A,#N/A,TRUE,"Detail"}</definedName>
    <definedName name="temp1" localSheetId="4" hidden="1">{#N/A,#N/A,TRUE,"Front";#N/A,#N/A,TRUE,"Simple Letter";#N/A,#N/A,TRUE,"Inside";#N/A,#N/A,TRUE,"Contents";#N/A,#N/A,TRUE,"Basis";#N/A,#N/A,TRUE,"Inclusions";#N/A,#N/A,TRUE,"Exclusions";#N/A,#N/A,TRUE,"Areas";#N/A,#N/A,TRUE,"Summary";#N/A,#N/A,TRUE,"Detail"}</definedName>
    <definedName name="temp1" localSheetId="5" hidden="1">{#N/A,#N/A,TRUE,"Front";#N/A,#N/A,TRUE,"Simple Letter";#N/A,#N/A,TRUE,"Inside";#N/A,#N/A,TRUE,"Contents";#N/A,#N/A,TRUE,"Basis";#N/A,#N/A,TRUE,"Inclusions";#N/A,#N/A,TRUE,"Exclusions";#N/A,#N/A,TRUE,"Areas";#N/A,#N/A,TRUE,"Summary";#N/A,#N/A,TRUE,"Detail"}</definedName>
    <definedName name="temp1" localSheetId="6" hidden="1">{#N/A,#N/A,TRUE,"Front";#N/A,#N/A,TRUE,"Simple Letter";#N/A,#N/A,TRUE,"Inside";#N/A,#N/A,TRUE,"Contents";#N/A,#N/A,TRUE,"Basis";#N/A,#N/A,TRUE,"Inclusions";#N/A,#N/A,TRUE,"Exclusions";#N/A,#N/A,TRUE,"Areas";#N/A,#N/A,TRUE,"Summary";#N/A,#N/A,TRUE,"Detail"}</definedName>
    <definedName name="USD" localSheetId="2">#REF!</definedName>
    <definedName name="USD" localSheetId="4">#REF!</definedName>
    <definedName name="USD" localSheetId="5">#REF!</definedName>
    <definedName name="USD" localSheetId="6">#REF!</definedName>
    <definedName name="valve2" localSheetId="2">#REF!</definedName>
    <definedName name="valve2" localSheetId="4">#REF!</definedName>
    <definedName name="valve2" localSheetId="5">#REF!</definedName>
    <definedName name="valve2" localSheetId="6">#REF!</definedName>
    <definedName name="valve3" localSheetId="2">#REF!</definedName>
    <definedName name="valve3" localSheetId="4">#REF!</definedName>
    <definedName name="valve3" localSheetId="5">#REF!</definedName>
    <definedName name="valve3" localSheetId="6">#REF!</definedName>
    <definedName name="valves" localSheetId="2">#REF!</definedName>
    <definedName name="valves" localSheetId="4">#REF!</definedName>
    <definedName name="valves" localSheetId="5">#REF!</definedName>
    <definedName name="valves" localSheetId="6">#REF!</definedName>
    <definedName name="VoIPLoggers" localSheetId="2">[3]Pricelist!#REF!</definedName>
    <definedName name="VoIPLoggers" localSheetId="4">[3]Pricelist!#REF!</definedName>
    <definedName name="VoIPLoggers" localSheetId="5">[3]Pricelist!#REF!</definedName>
    <definedName name="VoIPLoggers" localSheetId="6">[3]Pricelist!#REF!</definedName>
    <definedName name="VVVVV" localSheetId="2">#REF!</definedName>
    <definedName name="VVVVV" localSheetId="4">#REF!</definedName>
    <definedName name="VVVVV" localSheetId="5">#REF!</definedName>
    <definedName name="VVVVV" localSheetId="6">#REF!</definedName>
    <definedName name="WFM" localSheetId="2">[3]Pricelist!#REF!</definedName>
    <definedName name="WFM" localSheetId="4">[3]Pricelist!#REF!</definedName>
    <definedName name="WFM" localSheetId="5">[3]Pricelist!#REF!</definedName>
    <definedName name="WFM" localSheetId="6">[3]Pricelist!#REF!</definedName>
    <definedName name="wrn.Full._.Report." localSheetId="2" hidden="1">{#N/A,#N/A,TRUE,"Front";#N/A,#N/A,TRUE,"Simple Letter";#N/A,#N/A,TRUE,"Inside";#N/A,#N/A,TRUE,"Contents";#N/A,#N/A,TRUE,"Basis";#N/A,#N/A,TRUE,"Inclusions";#N/A,#N/A,TRUE,"Exclusions";#N/A,#N/A,TRUE,"Areas";#N/A,#N/A,TRUE,"Summary";#N/A,#N/A,TRUE,"Detail"}</definedName>
    <definedName name="wrn.Full._.Report." localSheetId="4" hidden="1">{#N/A,#N/A,TRUE,"Front";#N/A,#N/A,TRUE,"Simple Letter";#N/A,#N/A,TRUE,"Inside";#N/A,#N/A,TRUE,"Contents";#N/A,#N/A,TRUE,"Basis";#N/A,#N/A,TRUE,"Inclusions";#N/A,#N/A,TRUE,"Exclusions";#N/A,#N/A,TRUE,"Areas";#N/A,#N/A,TRUE,"Summary";#N/A,#N/A,TRUE,"Detail"}</definedName>
    <definedName name="wrn.Full._.Report." localSheetId="5"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 i="132" l="1"/>
  <c r="F6" i="176"/>
  <c r="F6" i="130"/>
  <c r="E6" i="130"/>
  <c r="F7" i="176"/>
  <c r="F8" i="176"/>
  <c r="C26" i="180"/>
  <c r="C9" i="180"/>
  <c r="F9" i="176" l="1"/>
  <c r="E9" i="169"/>
  <c r="F6" i="178" l="1"/>
  <c r="F5" i="178"/>
  <c r="F6" i="177"/>
  <c r="F5" i="177"/>
  <c r="F8" i="132"/>
  <c r="F16" i="132"/>
  <c r="F17" i="132"/>
  <c r="F18" i="132"/>
  <c r="F19" i="132"/>
  <c r="F23" i="132"/>
  <c r="F24" i="132"/>
  <c r="F7" i="132"/>
  <c r="F5" i="132"/>
  <c r="F7" i="178" l="1"/>
  <c r="F7" i="177"/>
  <c r="F25" i="132"/>
  <c r="F5" i="176"/>
  <c r="F14" i="130"/>
  <c r="D16" i="180" l="1"/>
  <c r="D15" i="180"/>
  <c r="D13" i="180"/>
  <c r="F12" i="132"/>
  <c r="F13" i="132"/>
  <c r="F14" i="132"/>
  <c r="F6" i="132"/>
  <c r="F9" i="132" s="1"/>
  <c r="F6" i="169"/>
  <c r="F7" i="169"/>
  <c r="F8" i="169"/>
  <c r="F9" i="169"/>
  <c r="F5" i="169"/>
  <c r="F20" i="132" l="1"/>
  <c r="D14" i="180" s="1"/>
  <c r="F10" i="169"/>
  <c r="D11" i="180" l="1"/>
  <c r="F7" i="130"/>
  <c r="F8" i="130"/>
  <c r="F9" i="130"/>
  <c r="F10" i="130"/>
  <c r="F11" i="130"/>
  <c r="F12" i="130"/>
  <c r="F13" i="130"/>
  <c r="F5" i="130"/>
  <c r="F15" i="130" l="1"/>
  <c r="D12" i="180" s="1"/>
  <c r="D17" i="180" s="1"/>
</calcChain>
</file>

<file path=xl/sharedStrings.xml><?xml version="1.0" encoding="utf-8"?>
<sst xmlns="http://schemas.openxmlformats.org/spreadsheetml/2006/main" count="184" uniqueCount="104">
  <si>
    <t>Nos.</t>
  </si>
  <si>
    <t>Unit</t>
  </si>
  <si>
    <t>Rate</t>
  </si>
  <si>
    <t>Nos</t>
  </si>
  <si>
    <t>Amount</t>
  </si>
  <si>
    <t>Qty</t>
  </si>
  <si>
    <t>MODULAR FURNITURE</t>
  </si>
  <si>
    <t>D1</t>
  </si>
  <si>
    <t>ELECTRICAL WORKS</t>
  </si>
  <si>
    <t>S.No</t>
  </si>
  <si>
    <t>Item Description</t>
  </si>
  <si>
    <t>Sqft</t>
  </si>
  <si>
    <t>Rft</t>
  </si>
  <si>
    <t>Remarks</t>
  </si>
  <si>
    <t xml:space="preserve"> </t>
  </si>
  <si>
    <t>Dismantling Works</t>
  </si>
  <si>
    <t>Dismantling and carefully removing existing lightweight gypsum partition walls, including removal of framing, boards, insulation (if any), cutting, breaking, stacking of debris within site premises up to 50 meters lead, complete as directed by Engineer-in-Charge.</t>
  </si>
  <si>
    <t>Dismantling of gypsum board false ceiling including removal of GI framework, hangers, perimeter channels, cutting around fixtures, careful lowering, stacking of material within site up to 50 meters lead, complete.</t>
  </si>
  <si>
    <t>Carefully dismantling of existing toughened glass partitions including patch fittings / channels / door hardware, removal without damage (if reusable), stacking within premises up to 50 meters lead, complete.</t>
  </si>
  <si>
    <t>Dismantling of door shutter along with wooden frame embedded in wall, including cutting of holdfasts, chiseling of wall edges, removal, stacking within premises up to 50 meters lead, complete.</t>
  </si>
  <si>
    <t>Carefully dismantling and removing existing carpet tile flooring including adhesive residue scraping, lifting without damage (if reusable), stacking within premises up to 50 meters lead, complete as directed.</t>
  </si>
  <si>
    <t xml:space="preserve">TOTAL DISMANTELING WORK </t>
  </si>
  <si>
    <t>Providing and fixing 100 mm thick heavy-duty gypsum board partition comprising 50 mm GI metal stud framework (minimum 0.6 mm thick) at 400–600 mm c/c, with 12.5 mm thick gypsum board on both sides. The partition shall include full-height 19 mm thick BWP grade plywood backing on one complete face for entire wall area to support wall-mounted TV panels, display units, shelves, and heavy fixtures.</t>
  </si>
  <si>
    <t>CIVIL &amp; INTERIOR WORKS</t>
  </si>
  <si>
    <t>Providing and fixing gypsum board false ceiling in peripheral border/band area only (central metal ceiling already installed), comprising GI metal framework (0.5–0.6 mm thick) suspended from structural ceiling using GI hangers, with 12.5 mm thick gypsum board, including perimeter channels, edge trims, cut-outs for lights, AC grills, sprinklers, jointing tape, jointing compound, finishing with putty ready for paint, complete in all respects.
The work includes proper alignment and seamless integration with existing central metal ceiling.</t>
  </si>
  <si>
    <t>Providing and applying 2 coats of white cement based wall putty over prepared surface including surface cleaning, minor surface correction, sanding between coats, complete ready to receive paint.</t>
  </si>
  <si>
    <t>Providing and applying 1 coat primer + 2 coats premium acrylic interior emulsion paint over putty-finished surface, including surface preparation, scaffolding, protection of adjacent areas, complete.</t>
  </si>
  <si>
    <t>Providing and applying 1 coat primer + 2 coats premium interior emulsion paint over ceiling surface including preparation and protection.</t>
  </si>
  <si>
    <t>Providing and fixing 600 mm wide wall-mounted ledge table made of 19 mm thick BWP grade plywood finished with laminate on top and bottom, including edge banding, necessary MS brackets / support system, wall anchoring and all hardware, complete as per drawings and directions of Engineer-in-Charge.</t>
  </si>
  <si>
    <t>Providing and fixing manually operated roller blinds of approved make and shade, made from polyester sunscreen fabric, including aluminium roller tube, powder-coated bottom channel, side brackets, operating chain mechanism, necessary fasteners and installation, complete as per drawings and directions of Engineer-in-Charge.</t>
  </si>
  <si>
    <t>Providing and fixing approved make carpet tiles of approved size with bitumen/PVC backing, laid over prepared surface using recommended adhesive, including surface preparation, cutting, edge finishing and complete installation as per manufacturer’s specification and directions of Engineer-in-Charge.</t>
  </si>
  <si>
    <t>TOTAL CIVIL &amp; INTERIOR WORKS</t>
  </si>
  <si>
    <t xml:space="preserve">TOTAL HVAC WORK </t>
  </si>
  <si>
    <t>HVAC Works</t>
  </si>
  <si>
    <t>Providing and supplying factory-finished 2-seater modular pod seating comprising upholstered seat and back panels, laminated table top, internal MS frame structure, acoustic panel backing, necessary supports and leveling adjustments, complete as per approved design and specifications.</t>
  </si>
  <si>
    <t>Providing and supplying factory-finished 4-seater modular pod seating comprising upholstered seat and back panels, laminated central table top, internal MS frame structure, acoustic panel backing, necessary supports and leveling adjustments, complete as per approved design and specifications.</t>
  </si>
  <si>
    <t>TOTAL MODULAR FURNITURE</t>
  </si>
  <si>
    <t>LOOSE FURNITURE</t>
  </si>
  <si>
    <t>Providing and supplying single-user sleeping pod comprising internal MS frame structure, upholstered side and back panels, mattress with fabric finish, laminated base platform, ventilation cut-outs, integrated reading light and mobile charging provision, complete as per approved design and specifications.</t>
  </si>
  <si>
    <t>Providing and supplying factory-fabricated single-user acoustic phone booth comprising MS frame structure, painted external finish, internal acoustic panel lining, glass door with soft-close hinges, ventilation fan system, integrated LED light, laminated work ledge, power socket and data provision, complete as per approved design and specifications.</t>
  </si>
  <si>
    <t>Providing and supplying standard size bean bag with high-density EPS bead filling, durable fabric cover (leatherette / suede / polyester as approved), double stitching with zipper closure, complete as per approved specifications.</t>
  </si>
  <si>
    <t>Providing and fixing low height storage unit (approx. 750 mm height) made of 19 mm thick commercial/BWP grade plywood carcass with laminate finish on external faces, internal shelves, necessary shutters (hinged/sliding as per design), soft-close hardware, edge banding, adjustable legs and complete installation as per approved drawings and specifications.</t>
  </si>
  <si>
    <t>Providing and supplying small center table (approx. 600 mm dia/size and 400–450 mm height) comprising laminated plywood top with edge finish and powder-coated MS base frame, complete as per approved design and specifications.</t>
  </si>
  <si>
    <t>Providing and supplying 2-seater booth sofa suitable for exterior garden use, comprising powder-coated MS/Aluminium frame structure, weather-resistant outdoor grade upholstery with high-density foam, water-resistant fabric, and necessary base support, complete as per approved design and specifications.</t>
  </si>
  <si>
    <t>Providing and supplying outdoor chair suitable for exterior garden use with durable structure and weather-resistant finish, complete as per approved design and specifications.</t>
  </si>
  <si>
    <t>Providing and supplying FRP planter of approved size, shape and finish, suitable for indoor/outdoor use, complete as per approved design and specifications.</t>
  </si>
  <si>
    <t>TOTAL LOOSE FURNITURE</t>
  </si>
  <si>
    <t>APPLIANCES</t>
  </si>
  <si>
    <t>Providing and supplying 55-inch LED Smart TV of approved make and model, including standard wall mounting bracket, necessary power cord and installation, complete as per approved specifications and directions of Engineer-in-Charge.</t>
  </si>
  <si>
    <t>Providing and supplying PS5 gaming console (latest generation) including one wireless controller, HDMI cable, power cable and standard accessories, complete as per approved specifications.</t>
  </si>
  <si>
    <t>TOTAL APPLIANCES</t>
  </si>
  <si>
    <t>Providing and fixing branding/signage work comprising printed and/or cut vinyl graphics on acrylic sheet base of approved thickness, including design printing, pasting, edge finishing, necessary supports and installation, complete as per approved artwork and specifications.</t>
  </si>
  <si>
    <t>LS</t>
  </si>
  <si>
    <t>TERRACE DEVELOPMENT WORKS</t>
  </si>
  <si>
    <t>Providing and executing necessary civil and structural work for installation of canopy/pergola in terrace garden area, including marking, core cutting, anchor bolt fixing, RCC pedestal/footing (if required), grouting, surface finishing and making good waterproofing treatment at disturbed areas, complete as per approved drawings and directions of Engineer-in-Charge.</t>
  </si>
  <si>
    <t>Providing, fabricating and fixing canopy/pergola structure of approved design and size, comprising structural framework with protective finish, including necessary supports, base plates, anchor fasteners, fabrication, erection, alignment and complete installation at terrace garden area as per approved drawings and directions of Engineer-in-Charge.</t>
  </si>
  <si>
    <t>TOTAL TERRACE DEVELOPMENT WORKS</t>
  </si>
  <si>
    <t>Carrying out miscellaneous electrical modification works including extension/alteration of existing wiring, shifting of points, additional light/power points, replacement/installation of switches and sockets, minor conduit/raceway work, reconnections, terminations, testing and commissioning, and all incidental works required to complete the electrical modifications as per site requirements and directions of Engineer-in-Charge.</t>
  </si>
  <si>
    <t>TOTAL ELECTRICAL WORKS</t>
  </si>
  <si>
    <t>DISMANTELING WORKS</t>
  </si>
  <si>
    <t>HVAC WORKS</t>
  </si>
  <si>
    <t>APPLIANCES &amp; FURNITURE WORKS</t>
  </si>
  <si>
    <t>D2</t>
  </si>
  <si>
    <t>D3</t>
  </si>
  <si>
    <t>REMARKS</t>
  </si>
  <si>
    <t>ITEM HEADS</t>
  </si>
  <si>
    <t xml:space="preserve">1. Project time line is 20-25 days </t>
  </si>
  <si>
    <t>2. Mobilization Period : Within 07 days</t>
  </si>
  <si>
    <t>Ref No</t>
  </si>
  <si>
    <t>% Payment</t>
  </si>
  <si>
    <t>Remark</t>
  </si>
  <si>
    <t xml:space="preserve">To Mobilisation of work and OEM order with all measurement </t>
  </si>
  <si>
    <t xml:space="preserve">Before handover </t>
  </si>
  <si>
    <t>Grand Total (Without Taxes)</t>
  </si>
  <si>
    <t xml:space="preserve">INDO NIPPON ENTERPRISE PVT. LTD. </t>
  </si>
  <si>
    <t>S. NO.</t>
  </si>
  <si>
    <t>TOTAL AMOUNT</t>
  </si>
  <si>
    <t>AMOUNT (INR)</t>
  </si>
  <si>
    <t>DATE :</t>
  </si>
  <si>
    <t xml:space="preserve">SUBMITTED BY : </t>
  </si>
  <si>
    <t xml:space="preserve">WORKING AREA </t>
  </si>
  <si>
    <t xml:space="preserve">DESIGN  &amp; BUILD COMPANY </t>
  </si>
  <si>
    <t>CLIENT :</t>
  </si>
  <si>
    <t>Upon civil work compeltion and OEM Order installation with 12% of work mobilisation</t>
  </si>
  <si>
    <t>REVISION :</t>
  </si>
  <si>
    <t>3. On last Payment , the payment shall be done actual.</t>
  </si>
  <si>
    <t xml:space="preserve">DISMENTALING WORK </t>
  </si>
  <si>
    <t xml:space="preserve">HVAC WORK </t>
  </si>
  <si>
    <t xml:space="preserve">ELECTRICAL WORK </t>
  </si>
  <si>
    <t xml:space="preserve">TERRACE DEVELOPMENT WORK </t>
  </si>
  <si>
    <t>Providing and fixing single leaf flush door shutter of size 900mm x 2100mm and 35 mm thick, commercial/hardwood core flush door finished with laminate on both sides (1.0 mm thick), including 150 mm x 300 mm (or as per drawing) vision panel with 6 mm clear toughened glass, complete with powder-coated pressed steel door frame (1.2 mm thick), including holdfasts, anchors, hardware provisions, approved make lockset, SS hinges, door closer, tower bolt, door stopper, necessary reinforcement, polishing/paint finish to frame, complete in all respects as per drawings and directions of Engineer-in-Charge.</t>
  </si>
  <si>
    <t>Providing and laying dedicated power wiring for 1.5 TR split air conditioner from distribution board to indoor/outdoor unit location, including FRLS copper cable of suitable rating in conduit/tray, necessary MCB, isolator, industrial socket outlet, termination, ferruling, testing and commissioning, complete as per site requirement and directions of Engineer-in-Charge.</t>
  </si>
  <si>
    <t>Providing and fixing wall-mounted SPN distribution board with necessary MCBs, incoming isolator, busbar, earthing connections, internal wiring, dressing, labeling, testing and commissioning, complete as per approved specifications.</t>
  </si>
  <si>
    <t>Point</t>
  </si>
  <si>
    <t>Workstation Area</t>
  </si>
  <si>
    <t>Providing and fixing 24W round recessed LED ceiling light of approved make in gypsum ceiling band, including connection to existing wiring and testing, complete.</t>
  </si>
  <si>
    <t>Unmind Zone</t>
  </si>
  <si>
    <t>Terrace Area</t>
  </si>
  <si>
    <t>Providing and fixing two layers of acoustic panels 12mm over existing gypsum wall using approved adhesive/mechanical fixing system, including necessary surface preparation, alignment, edge finishing and complete installation as per approved specifications and directions of Engineer-in-Charge.</t>
  </si>
  <si>
    <t>Providing, installing, testing and commissioning 1.5 TR 5 Star high-wall split air conditioner (Inverter type) of approved make, comprising indoor unit, outdoor unit, cordless remote, copper refrigerant piping (up to 3 RM), drain piping, interconnecting control wiring, outdoor unit stand, necessary insulation, wall core cutting, sealing and finishing, including suitable voltage stabilizer, complete in all respects as per manufacturer’s specifications and directions of Engineer-in-Charge.</t>
  </si>
  <si>
    <t>Providing and fixing additional copper refrigerant piping (up to 40 RM) with insulation, along with PVC drain piping from indoor unit to outdoor unit, including clamps, supports, fittings, joints and complete exposed installation as required.</t>
  </si>
  <si>
    <t>Rmt</t>
  </si>
  <si>
    <t>Providing and supplying rectangular table of size 5.5 ft x 4.5 ft with laminated top and round metal legs, complete as per approved design and specifications.</t>
  </si>
  <si>
    <t>Device 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</si>
</sst>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41" formatCode="_(* #,##0_);_(* \(#,##0\);_(* &quot;-&quot;_);_(@_)"/>
    <numFmt numFmtId="44" formatCode="_(&quot;₹&quot;* #,##0.00_);_(&quot;₹&quot;* \(#,##0.00\);_(&quot;₹&quot;* &quot;-&quot;??_);_(@_)"/>
    <numFmt numFmtId="43" formatCode="_(* #,##0.00_);_(* \(#,##0.00\);_(* &quot;-&quot;??_);_(@_)"/>
    <numFmt numFmtId="164" formatCode="_ * #,##0.00_ ;_ * \-#,##0.00_ ;_ * &quot;-&quot;??_ ;_ @_ "/>
    <numFmt numFmtId="165" formatCode="_(&quot;$&quot;* #,##0.00_);_(&quot;$&quot;* \(#,##0.00\);_(&quot;$&quot;* &quot;-&quot;??_);_(@_)"/>
    <numFmt numFmtId="166" formatCode="&quot;£&quot;#,##0;[Red]\-&quot;£&quot;#,##0"/>
    <numFmt numFmtId="167" formatCode="_-* #,##0.00_-;\-* #,##0.00_-;_-* &quot;-&quot;??_-;_-@_-"/>
    <numFmt numFmtId="168" formatCode="_(* #,##0.00_);_(* \(#,##0.00\);_(* \-??_);_(@_)"/>
    <numFmt numFmtId="169" formatCode="0.0"/>
    <numFmt numFmtId="170" formatCode="General_)"/>
    <numFmt numFmtId="171" formatCode="#,##0.00\ ;&quot; (&quot;#,##0.00\);&quot; -&quot;#\ ;@\ "/>
    <numFmt numFmtId="172" formatCode="_(* #,##0_);_(* \(#,##0\);_(* &quot;-&quot;??_);_(@_)"/>
    <numFmt numFmtId="173" formatCode="_(* #,##0.0_);_(* \(#,##0.0\);_(* &quot;-&quot;??_);_(@_)"/>
    <numFmt numFmtId="174" formatCode="0.00_)"/>
    <numFmt numFmtId="175" formatCode="_-* #,##0_-;\-* #,##0_-;_-* &quot;-&quot;??_-;_-@_-"/>
    <numFmt numFmtId="176" formatCode="_-* #,##0.0_-;\-* #,##0.0_-;_-* &quot;-&quot;??_-;_-@_-"/>
    <numFmt numFmtId="177" formatCode="0.000"/>
    <numFmt numFmtId="178" formatCode="#,##0.0_);\(#,##0.0\)"/>
    <numFmt numFmtId="179" formatCode="_ * #,##0_)&quot; $&quot;_ ;_ * \(#,##0&quot;) $&quot;_ ;_ * \-_)&quot; $&quot;_ ;_ @_ "/>
    <numFmt numFmtId="180" formatCode="#,##0.000"/>
    <numFmt numFmtId="181" formatCode="#,##0.00_);\-#,##0.00"/>
    <numFmt numFmtId="182" formatCode="&quot;Rs.&quot;#,##0;[Red]\-&quot;Rs.&quot;#,##0"/>
    <numFmt numFmtId="183" formatCode="_-* #,##0\ _F_-;\-* #,##0\ _F_-;_-* &quot;- &quot;_F_-;_-@_-"/>
    <numFmt numFmtId="184" formatCode="\##,##0;[Red]&quot;\-&quot;#,##0"/>
    <numFmt numFmtId="185" formatCode="_-* #,##0_-;\-* #,##0_-;_-* \-_-;_-@_-"/>
    <numFmt numFmtId="186" formatCode="0.00%\)"/>
    <numFmt numFmtId="187" formatCode="_ * #,##0.00_)&quot; $&quot;_ ;_ * \(#,##0.00&quot;) $&quot;_ ;_ * \-??_)&quot; $&quot;_ ;_ @_ "/>
    <numFmt numFmtId="188" formatCode="yyyy"/>
    <numFmt numFmtId="189" formatCode="\##,##0.00;[Red]&quot;\-&quot;#,##0.00"/>
    <numFmt numFmtId="190" formatCode="_-* #,##0.00\ _F_-;\-* #,##0.00\ _F_-;_-* \-??\ _F_-;_-@_-"/>
    <numFmt numFmtId="191" formatCode="\(0.00%"/>
    <numFmt numFmtId="192" formatCode="#,##0.000_);\(#,##0.000\)"/>
    <numFmt numFmtId="193" formatCode="\U\S&quot;$&quot;#,##0.00;\(\U\S&quot;$&quot;#,##0.00\)"/>
    <numFmt numFmtId="194" formatCode="_-* #,##0.00\ [$€-1]_-;\-* #,##0.00\ [$€-1]_-;_-* \-??\ [$€-1]_-"/>
    <numFmt numFmtId="195" formatCode="\+0.00%\+"/>
    <numFmt numFmtId="196" formatCode="_-* #,##0_-;\-* #,##0_-;_-* &quot;-&quot;_-;_-@_-"/>
    <numFmt numFmtId="197" formatCode="&quot; &quot;* #,##0.00&quot; &quot;;&quot; &quot;* \(#,##0.00\);&quot; &quot;* &quot;-&quot;??&quot; &quot;"/>
    <numFmt numFmtId="198" formatCode="_ * #,##0.0_ ;_ * \-#,##0.0_ ;_ * &quot;-&quot;??_ ;_ @_ "/>
    <numFmt numFmtId="199" formatCode="_ * #,##0_ ;_ * \-#,##0_ ;_ * &quot;-&quot;??_ ;_ @_ "/>
    <numFmt numFmtId="200" formatCode="_ [$₹-4009]\ * #,##0.00_ ;_ [$₹-4009]\ * \-#,##0.00_ ;_ [$₹-4009]\ * &quot;-&quot;??_ ;_ @_ "/>
  </numFmts>
  <fonts count="128">
    <font>
      <sz val="11"/>
      <color indexed="8"/>
      <name val="Calibri"/>
      <family val="2"/>
      <charset val="13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charset val="134"/>
    </font>
    <font>
      <sz val="10"/>
      <name val="Arial"/>
      <family val="2"/>
    </font>
    <font>
      <sz val="12"/>
      <name val="Times New Roman"/>
      <family val="1"/>
    </font>
    <font>
      <sz val="10"/>
      <name val="Helv"/>
      <charset val="204"/>
    </font>
    <font>
      <sz val="11"/>
      <color indexed="8"/>
      <name val="Calibri"/>
      <family val="2"/>
      <charset val="1"/>
    </font>
    <font>
      <sz val="11"/>
      <color indexed="8"/>
      <name val="Calibri"/>
      <family val="2"/>
      <charset val="134"/>
    </font>
    <font>
      <sz val="10"/>
      <name val="Arial"/>
      <family val="2"/>
    </font>
    <font>
      <sz val="11"/>
      <name val="돋움"/>
      <family val="3"/>
    </font>
    <font>
      <sz val="11"/>
      <color indexed="8"/>
      <name val="맑은 고딕"/>
      <family val="3"/>
    </font>
    <font>
      <sz val="10"/>
      <name val="Helv"/>
    </font>
    <font>
      <sz val="11"/>
      <color indexed="8"/>
      <name val="Calibri"/>
      <family val="2"/>
    </font>
    <font>
      <sz val="11"/>
      <name val="ＭＳ Ｐゴシック"/>
      <family val="3"/>
      <charset val="128"/>
    </font>
    <font>
      <sz val="10"/>
      <name val="Mangal"/>
      <family val="2"/>
    </font>
    <font>
      <sz val="10"/>
      <name val="Arial"/>
      <family val="2"/>
    </font>
    <font>
      <sz val="10"/>
      <name val="Helv"/>
      <family val="2"/>
      <charset val="204"/>
    </font>
    <font>
      <sz val="10"/>
      <name val="Courier"/>
      <family val="3"/>
    </font>
    <font>
      <sz val="11"/>
      <color theme="1"/>
      <name val="Calibri"/>
      <family val="2"/>
      <scheme val="minor"/>
    </font>
    <font>
      <sz val="12"/>
      <color theme="1"/>
      <name val="Calibri"/>
      <family val="2"/>
      <scheme val="minor"/>
    </font>
    <font>
      <sz val="11"/>
      <color theme="1"/>
      <name val="ＭＳ Ｐゴシック"/>
      <family val="3"/>
      <charset val="128"/>
    </font>
    <font>
      <sz val="10"/>
      <name val="Helv"/>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Calibri"/>
      <family val="2"/>
      <scheme val="minor"/>
    </font>
    <font>
      <sz val="11"/>
      <color indexed="8"/>
      <name val="Calibri"/>
      <family val="2"/>
    </font>
    <font>
      <sz val="11"/>
      <color indexed="8"/>
      <name val="Bookman Old Style"/>
      <family val="1"/>
    </font>
    <font>
      <b/>
      <sz val="11"/>
      <color indexed="8"/>
      <name val="Bookman Old Style"/>
      <family val="1"/>
    </font>
    <font>
      <sz val="12"/>
      <color theme="1"/>
      <name val="Bookman Old Style"/>
      <family val="1"/>
    </font>
    <font>
      <sz val="10"/>
      <color indexed="8"/>
      <name val="Arial"/>
      <family val="2"/>
    </font>
    <font>
      <sz val="12"/>
      <name val="Arial"/>
      <family val="2"/>
    </font>
    <font>
      <b/>
      <i/>
      <sz val="16"/>
      <name val="Helv"/>
      <charset val="134"/>
    </font>
    <font>
      <sz val="14"/>
      <name val="Terminal"/>
      <charset val="128"/>
    </font>
    <font>
      <sz val="9"/>
      <name val="Times New Roman"/>
      <family val="1"/>
    </font>
    <font>
      <sz val="10"/>
      <color indexed="8"/>
      <name val="Arial1"/>
      <charset val="134"/>
    </font>
    <font>
      <sz val="11"/>
      <color indexed="8"/>
      <name val="Arial"/>
      <family val="2"/>
    </font>
    <font>
      <sz val="11"/>
      <color theme="1"/>
      <name val="Calibri"/>
      <family val="2"/>
      <scheme val="minor"/>
    </font>
    <font>
      <sz val="10"/>
      <color indexed="8"/>
      <name val="Arial2"/>
      <charset val="134"/>
    </font>
    <font>
      <b/>
      <sz val="10"/>
      <name val="Courier"/>
      <charset val="134"/>
    </font>
    <font>
      <sz val="10"/>
      <name val="Courier"/>
      <charset val="134"/>
    </font>
    <font>
      <sz val="11"/>
      <name val="돋움"/>
      <family val="2"/>
      <charset val="129"/>
    </font>
    <font>
      <sz val="12"/>
      <name val="바탕체"/>
      <family val="1"/>
      <charset val="129"/>
    </font>
    <font>
      <sz val="8"/>
      <name val="Arial"/>
      <family val="2"/>
    </font>
    <font>
      <sz val="12"/>
      <color indexed="8"/>
      <name val="Times New Roman"/>
      <family val="1"/>
    </font>
    <font>
      <b/>
      <sz val="12"/>
      <name val="Arial"/>
      <family val="2"/>
    </font>
    <font>
      <sz val="10"/>
      <name val="MS Sans Serif"/>
      <charset val="134"/>
    </font>
    <font>
      <sz val="10"/>
      <name val="ＭＳ ゴシック"/>
      <family val="2"/>
      <charset val="128"/>
    </font>
    <font>
      <sz val="12"/>
      <name val="Bookman Old Style"/>
      <family val="1"/>
    </font>
    <font>
      <sz val="12"/>
      <color indexed="8"/>
      <name val="Bookman Old Style"/>
      <family val="1"/>
    </font>
    <font>
      <b/>
      <sz val="12"/>
      <name val="Bookman Old Style"/>
      <family val="1"/>
    </font>
    <font>
      <sz val="12"/>
      <color indexed="10"/>
      <name val="Bookman Old Style"/>
      <family val="1"/>
    </font>
    <font>
      <b/>
      <sz val="12"/>
      <color theme="1"/>
      <name val="Bookman Old Style"/>
      <family val="1"/>
    </font>
    <font>
      <sz val="12"/>
      <color rgb="FF000000"/>
      <name val="Bookman Old Style"/>
      <family val="1"/>
    </font>
    <font>
      <sz val="11"/>
      <name val="MS Sans Serif"/>
      <family val="2"/>
    </font>
    <font>
      <sz val="8"/>
      <name val="Calibri"/>
      <family val="2"/>
      <charset val="134"/>
    </font>
    <font>
      <sz val="11"/>
      <name val="MS Sans Serif"/>
    </font>
    <font>
      <sz val="10"/>
      <color rgb="FF000000"/>
      <name val="Calibri"/>
      <family val="2"/>
      <scheme val="minor"/>
    </font>
    <font>
      <sz val="16"/>
      <color theme="1"/>
      <name val="Tahoma"/>
      <family val="2"/>
    </font>
    <font>
      <b/>
      <sz val="16"/>
      <color rgb="FF000000"/>
      <name val="Tahoma"/>
      <family val="2"/>
    </font>
    <font>
      <b/>
      <sz val="16"/>
      <color theme="1"/>
      <name val="Tahoma"/>
      <family val="2"/>
    </font>
    <font>
      <sz val="16"/>
      <color rgb="FF000000"/>
      <name val="Tahoma"/>
      <family val="2"/>
    </font>
    <font>
      <b/>
      <sz val="14"/>
      <name val="Tahoma"/>
      <family val="2"/>
    </font>
    <font>
      <b/>
      <sz val="14"/>
      <color theme="1"/>
      <name val="Tahoma"/>
      <family val="2"/>
    </font>
    <font>
      <sz val="16"/>
      <name val="Tahoma"/>
      <family val="2"/>
    </font>
    <font>
      <sz val="14"/>
      <color theme="1"/>
      <name val="Calibri"/>
      <family val="2"/>
      <scheme val="minor"/>
    </font>
    <font>
      <b/>
      <sz val="14"/>
      <color theme="0"/>
      <name val="Calibri"/>
      <family val="2"/>
      <scheme val="minor"/>
    </font>
    <font>
      <sz val="14"/>
      <color theme="1"/>
      <name val="Tahoma"/>
      <family val="2"/>
    </font>
    <font>
      <b/>
      <sz val="14"/>
      <color rgb="FF000000"/>
      <name val="Tahoma"/>
      <family val="2"/>
    </font>
    <font>
      <sz val="14"/>
      <color indexed="8"/>
      <name val="Calibri"/>
      <family val="2"/>
      <charset val="134"/>
    </font>
    <font>
      <b/>
      <sz val="36"/>
      <color rgb="FF000000"/>
      <name val="Calibri"/>
      <family val="2"/>
      <scheme val="minor"/>
    </font>
    <font>
      <sz val="20"/>
      <color theme="1"/>
      <name val="Calibri"/>
      <family val="2"/>
      <scheme val="minor"/>
    </font>
    <font>
      <b/>
      <sz val="16"/>
      <name val="Bookman Old Style"/>
      <family val="1"/>
    </font>
    <font>
      <b/>
      <sz val="14"/>
      <color indexed="8"/>
      <name val="Bookman Old Style"/>
      <family val="1"/>
    </font>
    <font>
      <b/>
      <sz val="14"/>
      <name val="Bookman Old Style"/>
      <family val="1"/>
    </font>
  </fonts>
  <fills count="33">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26"/>
        <bgColor indexed="64"/>
      </patternFill>
    </fill>
    <fill>
      <patternFill patternType="solid">
        <fgColor theme="4" tint="0.59999389629810485"/>
        <bgColor indexed="64"/>
      </patternFill>
    </fill>
    <fill>
      <patternFill patternType="solid">
        <fgColor theme="0" tint="-0.249977111117893"/>
        <bgColor rgb="FF073763"/>
      </patternFill>
    </fill>
    <fill>
      <patternFill patternType="solid">
        <fgColor theme="0" tint="-0.249977111117893"/>
        <bgColor rgb="FF9FC5E8"/>
      </patternFill>
    </fill>
    <fill>
      <patternFill patternType="solid">
        <fgColor theme="0" tint="-0.249977111117893"/>
        <bgColor indexed="64"/>
      </patternFill>
    </fill>
    <fill>
      <patternFill patternType="solid">
        <fgColor theme="3"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
      <left/>
      <right/>
      <top style="double">
        <color auto="1"/>
      </top>
      <bottom style="double">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theme="1"/>
      </left>
      <right/>
      <top/>
      <bottom style="thin">
        <color theme="1"/>
      </bottom>
      <diagonal/>
    </border>
    <border>
      <left/>
      <right style="thin">
        <color indexed="64"/>
      </right>
      <top style="thin">
        <color theme="1"/>
      </top>
      <bottom style="thin">
        <color theme="1"/>
      </bottom>
      <diagonal/>
    </border>
    <border>
      <left style="thin">
        <color theme="1"/>
      </left>
      <right style="thin">
        <color theme="1"/>
      </right>
      <top/>
      <bottom style="thin">
        <color theme="1"/>
      </bottom>
      <diagonal/>
    </border>
  </borders>
  <cellStyleXfs count="12018">
    <xf numFmtId="0" fontId="0" fillId="0" borderId="0">
      <alignment vertical="center"/>
    </xf>
    <xf numFmtId="0" fontId="42" fillId="0" borderId="0">
      <alignment vertical="center"/>
    </xf>
    <xf numFmtId="0" fontId="43" fillId="0" borderId="0"/>
    <xf numFmtId="43" fontId="52" fillId="0" borderId="0" applyFont="0" applyFill="0" applyBorder="0" applyAlignment="0" applyProtection="0"/>
    <xf numFmtId="167" fontId="59" fillId="0" borderId="0" applyFont="0" applyFill="0" applyBorder="0" applyAlignment="0" applyProtection="0"/>
    <xf numFmtId="43" fontId="48" fillId="0" borderId="0" applyFont="0" applyFill="0" applyBorder="0" applyAlignment="0" applyProtection="0"/>
    <xf numFmtId="43" fontId="44" fillId="0" borderId="0" applyFont="0" applyFill="0" applyBorder="0" applyAlignment="0" applyProtection="0">
      <alignment vertical="center"/>
    </xf>
    <xf numFmtId="43" fontId="43" fillId="0" borderId="0" applyFont="0" applyFill="0" applyBorder="0" applyAlignment="0" applyProtection="0"/>
    <xf numFmtId="43" fontId="43" fillId="0" borderId="0" applyFont="0" applyFill="0" applyBorder="0" applyAlignment="0" applyProtection="0"/>
    <xf numFmtId="169" fontId="44" fillId="0" borderId="0" applyFont="0" applyFill="0" applyBorder="0" applyAlignment="0" applyProtection="0">
      <alignment vertical="center"/>
    </xf>
    <xf numFmtId="167" fontId="44" fillId="0" borderId="0" applyFont="0" applyFill="0" applyBorder="0" applyAlignment="0" applyProtection="0">
      <alignment vertical="center"/>
    </xf>
    <xf numFmtId="43" fontId="44" fillId="0" borderId="0" applyFont="0" applyFill="0" applyBorder="0" applyAlignment="0" applyProtection="0">
      <alignment vertical="center"/>
    </xf>
    <xf numFmtId="40" fontId="53" fillId="0" borderId="0" applyFont="0" applyFill="0" applyBorder="0" applyAlignment="0" applyProtection="0">
      <alignment vertical="center"/>
    </xf>
    <xf numFmtId="43" fontId="43" fillId="0" borderId="0" applyFont="0" applyFill="0" applyBorder="0" applyAlignment="0" applyProtection="0"/>
    <xf numFmtId="167" fontId="44" fillId="0" borderId="0" applyFont="0" applyFill="0" applyBorder="0" applyAlignment="0" applyProtection="0">
      <alignment vertical="center"/>
    </xf>
    <xf numFmtId="43" fontId="52" fillId="0" borderId="0" applyFont="0" applyFill="0" applyBorder="0" applyAlignment="0" applyProtection="0"/>
    <xf numFmtId="0"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43" fillId="0" borderId="0" applyFont="0" applyFill="0" applyBorder="0" applyAlignment="0" applyProtection="0"/>
    <xf numFmtId="43" fontId="44" fillId="0" borderId="0" applyFont="0" applyFill="0" applyBorder="0" applyAlignment="0" applyProtection="0">
      <alignment vertical="center"/>
    </xf>
    <xf numFmtId="43" fontId="43" fillId="0" borderId="0" applyFont="0" applyFill="0" applyBorder="0" applyAlignment="0" applyProtection="0"/>
    <xf numFmtId="43" fontId="44" fillId="0" borderId="0" applyFont="0" applyFill="0" applyBorder="0" applyAlignment="0" applyProtection="0">
      <alignment vertical="center"/>
    </xf>
    <xf numFmtId="43" fontId="43" fillId="0" borderId="0" applyFont="0" applyFill="0" applyBorder="0" applyAlignment="0" applyProtection="0"/>
    <xf numFmtId="0" fontId="44" fillId="0" borderId="0" applyFont="0" applyFill="0" applyBorder="0" applyAlignment="0" applyProtection="0">
      <alignment vertical="center"/>
    </xf>
    <xf numFmtId="166" fontId="44" fillId="0" borderId="0" applyFont="0" applyFill="0" applyBorder="0" applyAlignment="0" applyProtection="0">
      <alignment vertical="center"/>
    </xf>
    <xf numFmtId="43" fontId="43" fillId="0" borderId="0" applyFont="0" applyFill="0" applyBorder="0" applyAlignment="0" applyProtection="0"/>
    <xf numFmtId="43" fontId="43" fillId="0" borderId="0" applyFont="0" applyFill="0" applyBorder="0" applyAlignment="0" applyProtection="0"/>
    <xf numFmtId="43" fontId="52" fillId="0" borderId="0" applyFont="0" applyFill="0" applyBorder="0" applyAlignment="0" applyProtection="0"/>
    <xf numFmtId="43" fontId="43" fillId="0" borderId="0" applyFont="0" applyFill="0" applyBorder="0" applyAlignment="0" applyProtection="0"/>
    <xf numFmtId="43" fontId="44" fillId="0" borderId="0" applyFont="0" applyFill="0" applyBorder="0" applyAlignment="0" applyProtection="0">
      <alignment vertical="center"/>
    </xf>
    <xf numFmtId="43" fontId="43" fillId="0" borderId="0" applyFont="0" applyFill="0" applyBorder="0" applyAlignment="0" applyProtection="0"/>
    <xf numFmtId="43" fontId="52"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8" fillId="0" borderId="0" applyFont="0" applyFill="0" applyBorder="0" applyAlignment="0" applyProtection="0"/>
    <xf numFmtId="43" fontId="43" fillId="0" borderId="0" applyFont="0" applyFill="0" applyBorder="0" applyAlignment="0" applyProtection="0"/>
    <xf numFmtId="0" fontId="54" fillId="0" borderId="0" applyNumberFormat="0" applyFill="0" applyBorder="0" applyAlignment="0" applyProtection="0"/>
    <xf numFmtId="0" fontId="56" fillId="0" borderId="0"/>
    <xf numFmtId="0" fontId="43" fillId="0" borderId="0"/>
    <xf numFmtId="170" fontId="57" fillId="0" borderId="0"/>
    <xf numFmtId="0" fontId="42" fillId="0" borderId="0">
      <alignment vertical="center"/>
    </xf>
    <xf numFmtId="0" fontId="46" fillId="0" borderId="0">
      <alignment vertical="center"/>
    </xf>
    <xf numFmtId="0" fontId="42" fillId="0" borderId="0">
      <alignment vertical="center"/>
    </xf>
    <xf numFmtId="0" fontId="43" fillId="0" borderId="0">
      <alignment vertical="center"/>
    </xf>
    <xf numFmtId="0" fontId="42" fillId="0" borderId="0">
      <alignment vertical="center"/>
    </xf>
    <xf numFmtId="0" fontId="60" fillId="0" borderId="0">
      <alignment vertical="center"/>
    </xf>
    <xf numFmtId="0" fontId="43" fillId="0" borderId="0"/>
    <xf numFmtId="0" fontId="43" fillId="0" borderId="0"/>
    <xf numFmtId="0" fontId="42" fillId="0" borderId="0">
      <alignment vertical="center"/>
    </xf>
    <xf numFmtId="0" fontId="43" fillId="0" borderId="0"/>
    <xf numFmtId="0" fontId="47" fillId="0" borderId="0">
      <alignment vertical="center"/>
    </xf>
    <xf numFmtId="0" fontId="49" fillId="0" borderId="0">
      <alignment vertical="center"/>
    </xf>
    <xf numFmtId="0" fontId="43" fillId="0" borderId="0"/>
    <xf numFmtId="0" fontId="58" fillId="0" borderId="0"/>
    <xf numFmtId="0" fontId="59" fillId="0" borderId="0"/>
    <xf numFmtId="0" fontId="48" fillId="0" borderId="0"/>
    <xf numFmtId="0" fontId="55" fillId="0" borderId="0" applyFont="0" applyAlignment="0"/>
    <xf numFmtId="0" fontId="45" fillId="0" borderId="0">
      <alignment vertical="center"/>
    </xf>
    <xf numFmtId="0" fontId="45" fillId="0" borderId="0">
      <alignment vertical="center"/>
    </xf>
    <xf numFmtId="0" fontId="51" fillId="0" borderId="0"/>
    <xf numFmtId="0" fontId="43" fillId="0" borderId="0"/>
    <xf numFmtId="0" fontId="50" fillId="0" borderId="0">
      <alignment vertical="center"/>
    </xf>
    <xf numFmtId="164" fontId="58" fillId="0" borderId="0" applyFont="0" applyFill="0" applyBorder="0" applyAlignment="0" applyProtection="0"/>
    <xf numFmtId="164" fontId="58" fillId="0" borderId="0" applyFont="0" applyFill="0" applyBorder="0" applyAlignment="0" applyProtection="0"/>
    <xf numFmtId="0" fontId="43" fillId="0" borderId="0"/>
    <xf numFmtId="0" fontId="55" fillId="0" borderId="0"/>
    <xf numFmtId="164" fontId="41" fillId="0" borderId="0" applyFont="0" applyFill="0" applyBorder="0" applyAlignment="0" applyProtection="0"/>
    <xf numFmtId="164" fontId="41" fillId="0" borderId="0" applyFont="0" applyFill="0" applyBorder="0" applyAlignment="0" applyProtection="0"/>
    <xf numFmtId="167" fontId="47" fillId="0" borderId="0" applyFont="0" applyFill="0" applyBorder="0" applyAlignment="0" applyProtection="0"/>
    <xf numFmtId="43" fontId="40" fillId="0" borderId="0" applyFont="0" applyFill="0" applyBorder="0" applyAlignment="0" applyProtection="0"/>
    <xf numFmtId="0" fontId="43" fillId="0" borderId="0" applyFont="0" applyFill="0" applyBorder="0" applyAlignment="0" applyProtection="0"/>
    <xf numFmtId="0" fontId="40" fillId="0" borderId="0"/>
    <xf numFmtId="0" fontId="45" fillId="0" borderId="0"/>
    <xf numFmtId="0" fontId="40" fillId="0" borderId="0"/>
    <xf numFmtId="0" fontId="43" fillId="0" borderId="0"/>
    <xf numFmtId="164" fontId="40" fillId="0" borderId="0" applyFont="0" applyFill="0" applyBorder="0" applyAlignment="0" applyProtection="0"/>
    <xf numFmtId="164" fontId="40" fillId="0" borderId="0" applyFont="0" applyFill="0" applyBorder="0" applyAlignment="0" applyProtection="0"/>
    <xf numFmtId="164" fontId="47" fillId="0" borderId="0" applyFont="0" applyFill="0" applyBorder="0" applyAlignment="0" applyProtection="0"/>
    <xf numFmtId="167" fontId="52" fillId="0" borderId="0" applyFont="0" applyFill="0" applyBorder="0" applyAlignment="0" applyProtection="0"/>
    <xf numFmtId="167" fontId="59" fillId="0" borderId="0" applyFont="0" applyFill="0" applyBorder="0" applyAlignment="0" applyProtection="0"/>
    <xf numFmtId="167" fontId="43"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7" fontId="43" fillId="0" borderId="0" applyFont="0" applyFill="0" applyBorder="0" applyAlignment="0" applyProtection="0"/>
    <xf numFmtId="167" fontId="44" fillId="0" borderId="0" applyFont="0" applyFill="0" applyBorder="0" applyAlignment="0" applyProtection="0">
      <alignment vertical="center"/>
    </xf>
    <xf numFmtId="167" fontId="44" fillId="0" borderId="0" applyFont="0" applyFill="0" applyBorder="0" applyAlignment="0" applyProtection="0">
      <alignment vertical="center"/>
    </xf>
    <xf numFmtId="167" fontId="43" fillId="0" borderId="0" applyFont="0" applyFill="0" applyBorder="0" applyAlignment="0" applyProtection="0"/>
    <xf numFmtId="167" fontId="44" fillId="0" borderId="0" applyFont="0" applyFill="0" applyBorder="0" applyAlignment="0" applyProtection="0">
      <alignment vertical="center"/>
    </xf>
    <xf numFmtId="167" fontId="52"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6" fontId="44" fillId="0" borderId="0" applyFont="0" applyFill="0" applyBorder="0" applyAlignment="0" applyProtection="0">
      <alignment vertical="center"/>
    </xf>
    <xf numFmtId="167" fontId="43" fillId="0" borderId="0" applyFont="0" applyFill="0" applyBorder="0" applyAlignment="0" applyProtection="0"/>
    <xf numFmtId="167" fontId="43" fillId="0" borderId="0" applyFont="0" applyFill="0" applyBorder="0" applyAlignment="0" applyProtection="0"/>
    <xf numFmtId="167" fontId="52" fillId="0" borderId="0" applyFont="0" applyFill="0" applyBorder="0" applyAlignment="0" applyProtection="0"/>
    <xf numFmtId="167" fontId="43"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7" fontId="52"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0" fontId="40" fillId="0" borderId="0"/>
    <xf numFmtId="0" fontId="43" fillId="0" borderId="0"/>
    <xf numFmtId="0" fontId="43" fillId="0" borderId="0" applyFont="0" applyAlignment="0"/>
    <xf numFmtId="164" fontId="40" fillId="0" borderId="0" applyFont="0" applyFill="0" applyBorder="0" applyAlignment="0" applyProtection="0"/>
    <xf numFmtId="164" fontId="40" fillId="0" borderId="0" applyFont="0" applyFill="0" applyBorder="0" applyAlignment="0" applyProtection="0"/>
    <xf numFmtId="0" fontId="40"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71" fontId="43" fillId="0" borderId="0"/>
    <xf numFmtId="0" fontId="40" fillId="0" borderId="0"/>
    <xf numFmtId="0" fontId="43" fillId="0" borderId="0"/>
    <xf numFmtId="0" fontId="43" fillId="0" borderId="0"/>
    <xf numFmtId="0" fontId="43" fillId="0" borderId="0"/>
    <xf numFmtId="0" fontId="43" fillId="0" borderId="0"/>
    <xf numFmtId="0" fontId="40" fillId="0" borderId="0"/>
    <xf numFmtId="0" fontId="40" fillId="0" borderId="0"/>
    <xf numFmtId="0" fontId="40" fillId="0" borderId="0"/>
    <xf numFmtId="0" fontId="40" fillId="0" borderId="0"/>
    <xf numFmtId="0" fontId="40" fillId="0" borderId="0"/>
    <xf numFmtId="0" fontId="40" fillId="0" borderId="0"/>
    <xf numFmtId="164" fontId="40" fillId="0" borderId="0" applyFont="0" applyFill="0" applyBorder="0" applyAlignment="0" applyProtection="0"/>
    <xf numFmtId="164" fontId="40" fillId="0" borderId="0" applyFont="0" applyFill="0" applyBorder="0" applyAlignment="0" applyProtection="0"/>
    <xf numFmtId="167" fontId="40" fillId="0" borderId="0" applyFont="0" applyFill="0" applyBorder="0" applyAlignment="0" applyProtection="0"/>
    <xf numFmtId="167" fontId="43"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43" fontId="39" fillId="0" borderId="0" applyFont="0" applyFill="0" applyBorder="0" applyAlignment="0" applyProtection="0"/>
    <xf numFmtId="0" fontId="39" fillId="0" borderId="0"/>
    <xf numFmtId="0" fontId="39" fillId="0" borderId="0"/>
    <xf numFmtId="43" fontId="47" fillId="0" borderId="0" applyFont="0" applyFill="0" applyBorder="0" applyAlignment="0" applyProtection="0"/>
    <xf numFmtId="43" fontId="38" fillId="0" borderId="0" applyFont="0" applyFill="0" applyBorder="0" applyAlignment="0" applyProtection="0"/>
    <xf numFmtId="0" fontId="38" fillId="0" borderId="0"/>
    <xf numFmtId="0" fontId="43" fillId="0" borderId="0"/>
    <xf numFmtId="0" fontId="37" fillId="0" borderId="0"/>
    <xf numFmtId="167" fontId="59" fillId="0" borderId="0" applyFont="0" applyFill="0" applyBorder="0" applyAlignment="0" applyProtection="0"/>
    <xf numFmtId="167" fontId="44" fillId="0" borderId="0" applyFont="0" applyFill="0" applyBorder="0" applyAlignment="0" applyProtection="0">
      <alignment vertical="center"/>
    </xf>
    <xf numFmtId="167" fontId="44" fillId="0" borderId="0" applyFont="0" applyFill="0" applyBorder="0" applyAlignment="0" applyProtection="0">
      <alignment vertical="center"/>
    </xf>
    <xf numFmtId="166" fontId="44" fillId="0" borderId="0" applyFont="0" applyFill="0" applyBorder="0" applyAlignment="0" applyProtection="0">
      <alignment vertical="center"/>
    </xf>
    <xf numFmtId="0" fontId="37" fillId="0" borderId="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0" fontId="37" fillId="0" borderId="0"/>
    <xf numFmtId="0" fontId="37" fillId="0" borderId="0"/>
    <xf numFmtId="0" fontId="37" fillId="0" borderId="0"/>
    <xf numFmtId="0" fontId="37" fillId="0" borderId="0"/>
    <xf numFmtId="164" fontId="37" fillId="0" borderId="0" applyFont="0" applyFill="0" applyBorder="0" applyAlignment="0" applyProtection="0"/>
    <xf numFmtId="164" fontId="37" fillId="0" borderId="0" applyFont="0" applyFill="0" applyBorder="0" applyAlignment="0" applyProtection="0"/>
    <xf numFmtId="0" fontId="37" fillId="0" borderId="0"/>
    <xf numFmtId="0" fontId="37" fillId="0" borderId="0"/>
    <xf numFmtId="0" fontId="37" fillId="0" borderId="0"/>
    <xf numFmtId="164" fontId="37" fillId="0" borderId="0" applyFont="0" applyFill="0" applyBorder="0" applyAlignment="0" applyProtection="0"/>
    <xf numFmtId="164" fontId="37" fillId="0" borderId="0" applyFont="0" applyFill="0" applyBorder="0" applyAlignment="0" applyProtection="0"/>
    <xf numFmtId="0" fontId="37" fillId="0" borderId="0"/>
    <xf numFmtId="167" fontId="37" fillId="0" borderId="0" applyFont="0" applyFill="0" applyBorder="0" applyAlignment="0" applyProtection="0"/>
    <xf numFmtId="0" fontId="37" fillId="0" borderId="0"/>
    <xf numFmtId="0" fontId="37" fillId="0" borderId="0"/>
    <xf numFmtId="164" fontId="37" fillId="0" borderId="0" applyFont="0" applyFill="0" applyBorder="0" applyAlignment="0" applyProtection="0"/>
    <xf numFmtId="0" fontId="37" fillId="0" borderId="0"/>
    <xf numFmtId="0" fontId="37" fillId="0" borderId="0"/>
    <xf numFmtId="164" fontId="37" fillId="0" borderId="0" applyFont="0" applyFill="0" applyBorder="0" applyAlignment="0" applyProtection="0"/>
    <xf numFmtId="0" fontId="36" fillId="0" borderId="0"/>
    <xf numFmtId="0" fontId="36" fillId="0" borderId="0"/>
    <xf numFmtId="164" fontId="36" fillId="0" borderId="0" applyFont="0" applyFill="0" applyBorder="0" applyAlignment="0" applyProtection="0"/>
    <xf numFmtId="0" fontId="35" fillId="0" borderId="0"/>
    <xf numFmtId="43" fontId="35" fillId="0" borderId="0" applyFont="0" applyFill="0" applyBorder="0" applyAlignment="0" applyProtection="0"/>
    <xf numFmtId="0" fontId="35" fillId="0" borderId="0"/>
    <xf numFmtId="0" fontId="34" fillId="0" borderId="0"/>
    <xf numFmtId="43" fontId="34" fillId="0" borderId="0" applyFont="0" applyFill="0" applyBorder="0" applyAlignment="0" applyProtection="0"/>
    <xf numFmtId="0" fontId="34" fillId="0" borderId="0"/>
    <xf numFmtId="0" fontId="33" fillId="0" borderId="0"/>
    <xf numFmtId="0" fontId="43" fillId="0" borderId="0"/>
    <xf numFmtId="164" fontId="33" fillId="0" borderId="0" applyFont="0" applyFill="0" applyBorder="0" applyAlignment="0" applyProtection="0"/>
    <xf numFmtId="0" fontId="33" fillId="0" borderId="0"/>
    <xf numFmtId="0" fontId="47" fillId="0" borderId="0">
      <alignment vertical="center"/>
    </xf>
    <xf numFmtId="0" fontId="32" fillId="0" borderId="0"/>
    <xf numFmtId="0" fontId="52" fillId="4" borderId="0" applyNumberFormat="0" applyBorder="0" applyAlignment="0" applyProtection="0"/>
    <xf numFmtId="0" fontId="52" fillId="5" borderId="0" applyNumberFormat="0" applyBorder="0" applyAlignment="0" applyProtection="0"/>
    <xf numFmtId="0" fontId="52" fillId="6" borderId="0" applyNumberFormat="0" applyBorder="0" applyAlignment="0" applyProtection="0"/>
    <xf numFmtId="0" fontId="52" fillId="7" borderId="0" applyNumberFormat="0" applyBorder="0" applyAlignment="0" applyProtection="0"/>
    <xf numFmtId="0" fontId="52" fillId="8" borderId="0" applyNumberFormat="0" applyBorder="0" applyAlignment="0" applyProtection="0"/>
    <xf numFmtId="0" fontId="52" fillId="9" borderId="0" applyNumberFormat="0" applyBorder="0" applyAlignment="0" applyProtection="0"/>
    <xf numFmtId="0" fontId="52" fillId="10" borderId="0" applyNumberFormat="0" applyBorder="0" applyAlignment="0" applyProtection="0"/>
    <xf numFmtId="0" fontId="52" fillId="11" borderId="0" applyNumberFormat="0" applyBorder="0" applyAlignment="0" applyProtection="0"/>
    <xf numFmtId="0" fontId="52" fillId="12" borderId="0" applyNumberFormat="0" applyBorder="0" applyAlignment="0" applyProtection="0"/>
    <xf numFmtId="0" fontId="52" fillId="7" borderId="0" applyNumberFormat="0" applyBorder="0" applyAlignment="0" applyProtection="0"/>
    <xf numFmtId="0" fontId="52" fillId="10" borderId="0" applyNumberFormat="0" applyBorder="0" applyAlignment="0" applyProtection="0"/>
    <xf numFmtId="0" fontId="52" fillId="13" borderId="0" applyNumberFormat="0" applyBorder="0" applyAlignment="0" applyProtection="0"/>
    <xf numFmtId="0" fontId="62" fillId="14" borderId="0" applyNumberFormat="0" applyBorder="0" applyAlignment="0" applyProtection="0"/>
    <xf numFmtId="0" fontId="62" fillId="11" borderId="0" applyNumberFormat="0" applyBorder="0" applyAlignment="0" applyProtection="0"/>
    <xf numFmtId="0" fontId="62" fillId="12" borderId="0" applyNumberFormat="0" applyBorder="0" applyAlignment="0" applyProtection="0"/>
    <xf numFmtId="0" fontId="62" fillId="15" borderId="0" applyNumberFormat="0" applyBorder="0" applyAlignment="0" applyProtection="0"/>
    <xf numFmtId="0" fontId="62" fillId="16" borderId="0" applyNumberFormat="0" applyBorder="0" applyAlignment="0" applyProtection="0"/>
    <xf numFmtId="0" fontId="62" fillId="17" borderId="0" applyNumberFormat="0" applyBorder="0" applyAlignment="0" applyProtection="0"/>
    <xf numFmtId="0" fontId="62" fillId="18" borderId="0" applyNumberFormat="0" applyBorder="0" applyAlignment="0" applyProtection="0"/>
    <xf numFmtId="0" fontId="62" fillId="19" borderId="0" applyNumberFormat="0" applyBorder="0" applyAlignment="0" applyProtection="0"/>
    <xf numFmtId="0" fontId="62" fillId="20" borderId="0" applyNumberFormat="0" applyBorder="0" applyAlignment="0" applyProtection="0"/>
    <xf numFmtId="0" fontId="62" fillId="15" borderId="0" applyNumberFormat="0" applyBorder="0" applyAlignment="0" applyProtection="0"/>
    <xf numFmtId="0" fontId="62" fillId="16" borderId="0" applyNumberFormat="0" applyBorder="0" applyAlignment="0" applyProtection="0"/>
    <xf numFmtId="0" fontId="62" fillId="21" borderId="0" applyNumberFormat="0" applyBorder="0" applyAlignment="0" applyProtection="0"/>
    <xf numFmtId="0" fontId="63" fillId="5" borderId="0" applyNumberFormat="0" applyBorder="0" applyAlignment="0" applyProtection="0"/>
    <xf numFmtId="0" fontId="64" fillId="22" borderId="3" applyNumberFormat="0" applyAlignment="0" applyProtection="0"/>
    <xf numFmtId="0" fontId="65" fillId="23" borderId="4" applyNumberFormat="0" applyAlignment="0" applyProtection="0"/>
    <xf numFmtId="167" fontId="43" fillId="0" borderId="0" applyFont="0" applyFill="0" applyBorder="0" applyProtection="0">
      <alignment horizontal="justify" vertical="top"/>
    </xf>
    <xf numFmtId="0" fontId="66" fillId="0" borderId="0" applyNumberFormat="0" applyFill="0" applyBorder="0" applyAlignment="0" applyProtection="0"/>
    <xf numFmtId="0" fontId="67" fillId="6" borderId="0" applyNumberFormat="0" applyBorder="0" applyAlignment="0" applyProtection="0"/>
    <xf numFmtId="0" fontId="68" fillId="0" borderId="5" applyNumberFormat="0" applyFill="0" applyAlignment="0" applyProtection="0"/>
    <xf numFmtId="0" fontId="69" fillId="0" borderId="6" applyNumberFormat="0" applyFill="0" applyAlignment="0" applyProtection="0"/>
    <xf numFmtId="0" fontId="70" fillId="0" borderId="7" applyNumberFormat="0" applyFill="0" applyAlignment="0" applyProtection="0"/>
    <xf numFmtId="0" fontId="70" fillId="0" borderId="0" applyNumberFormat="0" applyFill="0" applyBorder="0" applyAlignment="0" applyProtection="0"/>
    <xf numFmtId="0" fontId="71" fillId="9" borderId="3" applyNumberFormat="0" applyAlignment="0" applyProtection="0"/>
    <xf numFmtId="0" fontId="72" fillId="0" borderId="8" applyNumberFormat="0" applyFill="0" applyAlignment="0" applyProtection="0"/>
    <xf numFmtId="0" fontId="73" fillId="24" borderId="0" applyNumberFormat="0" applyBorder="0" applyAlignment="0" applyProtection="0"/>
    <xf numFmtId="0" fontId="61" fillId="0" borderId="0"/>
    <xf numFmtId="0" fontId="43" fillId="25" borderId="9" applyNumberFormat="0" applyFont="0" applyAlignment="0" applyProtection="0"/>
    <xf numFmtId="0" fontId="74" fillId="22" borderId="10" applyNumberFormat="0" applyAlignment="0" applyProtection="0"/>
    <xf numFmtId="0" fontId="75" fillId="0" borderId="0" applyNumberFormat="0" applyFill="0" applyBorder="0" applyAlignment="0" applyProtection="0"/>
    <xf numFmtId="0" fontId="76" fillId="0" borderId="11" applyNumberFormat="0" applyFill="0" applyAlignment="0" applyProtection="0"/>
    <xf numFmtId="0" fontId="77" fillId="0" borderId="0" applyNumberFormat="0" applyFill="0" applyBorder="0" applyAlignment="0" applyProtection="0"/>
    <xf numFmtId="164" fontId="31" fillId="0" borderId="0" applyFont="0" applyFill="0" applyBorder="0" applyAlignment="0" applyProtection="0"/>
    <xf numFmtId="0" fontId="31" fillId="0" borderId="0"/>
    <xf numFmtId="164" fontId="47" fillId="0" borderId="0" applyFont="0" applyFill="0" applyBorder="0" applyAlignment="0" applyProtection="0"/>
    <xf numFmtId="0" fontId="31" fillId="0" borderId="0"/>
    <xf numFmtId="0" fontId="31" fillId="0" borderId="0"/>
    <xf numFmtId="164" fontId="52" fillId="0" borderId="0" applyFont="0" applyFill="0" applyBorder="0" applyAlignment="0" applyProtection="0"/>
    <xf numFmtId="167" fontId="31" fillId="0" borderId="0" applyFont="0" applyFill="0" applyBorder="0" applyAlignment="0" applyProtection="0">
      <alignment vertical="center"/>
    </xf>
    <xf numFmtId="164" fontId="30" fillId="0" borderId="0" applyFont="0" applyFill="0" applyBorder="0" applyAlignment="0" applyProtection="0"/>
    <xf numFmtId="0" fontId="43" fillId="0" borderId="0"/>
    <xf numFmtId="0" fontId="30" fillId="0" borderId="0"/>
    <xf numFmtId="0" fontId="29" fillId="0" borderId="0"/>
    <xf numFmtId="0" fontId="29" fillId="0" borderId="0"/>
    <xf numFmtId="0" fontId="28" fillId="0" borderId="0"/>
    <xf numFmtId="0" fontId="27" fillId="0" borderId="0"/>
    <xf numFmtId="164" fontId="26" fillId="0" borderId="0" applyFont="0" applyFill="0" applyBorder="0" applyAlignment="0" applyProtection="0"/>
    <xf numFmtId="0" fontId="26" fillId="0" borderId="0"/>
    <xf numFmtId="0" fontId="26" fillId="0" borderId="0"/>
    <xf numFmtId="0" fontId="25" fillId="0" borderId="0"/>
    <xf numFmtId="0" fontId="24" fillId="0" borderId="0"/>
    <xf numFmtId="43" fontId="24" fillId="0" borderId="0" applyFont="0" applyFill="0" applyBorder="0" applyAlignment="0" applyProtection="0"/>
    <xf numFmtId="0" fontId="24" fillId="0" borderId="0"/>
    <xf numFmtId="0" fontId="24" fillId="0" borderId="0"/>
    <xf numFmtId="0" fontId="24" fillId="0" borderId="0"/>
    <xf numFmtId="0" fontId="23" fillId="0" borderId="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0" fontId="23" fillId="0" borderId="0"/>
    <xf numFmtId="0" fontId="23" fillId="0" borderId="0"/>
    <xf numFmtId="164" fontId="23" fillId="0" borderId="0" applyFont="0" applyFill="0" applyBorder="0" applyAlignment="0" applyProtection="0"/>
    <xf numFmtId="164" fontId="23" fillId="0" borderId="0" applyFont="0" applyFill="0" applyBorder="0" applyAlignment="0" applyProtection="0"/>
    <xf numFmtId="164" fontId="47" fillId="0" borderId="0" applyFont="0" applyFill="0" applyBorder="0" applyAlignment="0" applyProtection="0"/>
    <xf numFmtId="0" fontId="23" fillId="0" borderId="0"/>
    <xf numFmtId="164" fontId="23" fillId="0" borderId="0" applyFont="0" applyFill="0" applyBorder="0" applyAlignment="0" applyProtection="0"/>
    <xf numFmtId="164" fontId="23" fillId="0" borderId="0" applyFont="0" applyFill="0" applyBorder="0" applyAlignment="0" applyProtection="0"/>
    <xf numFmtId="0" fontId="23"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164" fontId="23" fillId="0" borderId="0" applyFont="0" applyFill="0" applyBorder="0" applyAlignment="0" applyProtection="0"/>
    <xf numFmtId="164" fontId="23" fillId="0" borderId="0" applyFont="0" applyFill="0" applyBorder="0" applyAlignment="0" applyProtection="0"/>
    <xf numFmtId="167"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0" fontId="23" fillId="0" borderId="0"/>
    <xf numFmtId="0" fontId="23" fillId="0" borderId="0"/>
    <xf numFmtId="164" fontId="47" fillId="0" borderId="0" applyFont="0" applyFill="0" applyBorder="0" applyAlignment="0" applyProtection="0"/>
    <xf numFmtId="164" fontId="23" fillId="0" borderId="0" applyFont="0" applyFill="0" applyBorder="0" applyAlignment="0" applyProtection="0"/>
    <xf numFmtId="0" fontId="23" fillId="0" borderId="0"/>
    <xf numFmtId="0" fontId="23" fillId="0" borderId="0"/>
    <xf numFmtId="0" fontId="23" fillId="0" borderId="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0" fontId="23" fillId="0" borderId="0"/>
    <xf numFmtId="0" fontId="23" fillId="0" borderId="0"/>
    <xf numFmtId="0" fontId="23" fillId="0" borderId="0"/>
    <xf numFmtId="0" fontId="23" fillId="0" borderId="0"/>
    <xf numFmtId="164" fontId="23" fillId="0" borderId="0" applyFont="0" applyFill="0" applyBorder="0" applyAlignment="0" applyProtection="0"/>
    <xf numFmtId="164" fontId="23" fillId="0" borderId="0" applyFont="0" applyFill="0" applyBorder="0" applyAlignment="0" applyProtection="0"/>
    <xf numFmtId="0" fontId="23" fillId="0" borderId="0"/>
    <xf numFmtId="0" fontId="23" fillId="0" borderId="0"/>
    <xf numFmtId="0" fontId="23" fillId="0" borderId="0"/>
    <xf numFmtId="164" fontId="23" fillId="0" borderId="0" applyFont="0" applyFill="0" applyBorder="0" applyAlignment="0" applyProtection="0"/>
    <xf numFmtId="164" fontId="23" fillId="0" borderId="0" applyFont="0" applyFill="0" applyBorder="0" applyAlignment="0" applyProtection="0"/>
    <xf numFmtId="0" fontId="23" fillId="0" borderId="0"/>
    <xf numFmtId="167" fontId="23" fillId="0" borderId="0" applyFont="0" applyFill="0" applyBorder="0" applyAlignment="0" applyProtection="0"/>
    <xf numFmtId="0" fontId="23" fillId="0" borderId="0"/>
    <xf numFmtId="0" fontId="23" fillId="0" borderId="0"/>
    <xf numFmtId="164" fontId="23" fillId="0" borderId="0" applyFont="0" applyFill="0" applyBorder="0" applyAlignment="0" applyProtection="0"/>
    <xf numFmtId="0" fontId="23" fillId="0" borderId="0"/>
    <xf numFmtId="0" fontId="23" fillId="0" borderId="0"/>
    <xf numFmtId="164" fontId="23" fillId="0" borderId="0" applyFont="0" applyFill="0" applyBorder="0" applyAlignment="0" applyProtection="0"/>
    <xf numFmtId="0" fontId="23" fillId="0" borderId="0"/>
    <xf numFmtId="0" fontId="23" fillId="0" borderId="0"/>
    <xf numFmtId="164" fontId="23" fillId="0" borderId="0" applyFont="0" applyFill="0" applyBorder="0" applyAlignment="0" applyProtection="0"/>
    <xf numFmtId="0" fontId="23" fillId="0" borderId="0"/>
    <xf numFmtId="164" fontId="23" fillId="0" borderId="0" applyFont="0" applyFill="0" applyBorder="0" applyAlignment="0" applyProtection="0"/>
    <xf numFmtId="0" fontId="23" fillId="0" borderId="0"/>
    <xf numFmtId="0" fontId="23" fillId="0" borderId="0"/>
    <xf numFmtId="164" fontId="23" fillId="0" borderId="0" applyFont="0" applyFill="0" applyBorder="0" applyAlignment="0" applyProtection="0"/>
    <xf numFmtId="0" fontId="23" fillId="0" borderId="0"/>
    <xf numFmtId="0" fontId="23" fillId="0" borderId="0"/>
    <xf numFmtId="164" fontId="23" fillId="0" borderId="0" applyFont="0" applyFill="0" applyBorder="0" applyAlignment="0" applyProtection="0"/>
    <xf numFmtId="0" fontId="23" fillId="0" borderId="0"/>
    <xf numFmtId="0" fontId="23" fillId="0" borderId="0"/>
    <xf numFmtId="164" fontId="23" fillId="0" borderId="0" applyFont="0" applyFill="0" applyBorder="0" applyAlignment="0" applyProtection="0"/>
    <xf numFmtId="0" fontId="23" fillId="0" borderId="0"/>
    <xf numFmtId="164" fontId="47" fillId="0" borderId="0" applyFont="0" applyFill="0" applyBorder="0" applyAlignment="0" applyProtection="0"/>
    <xf numFmtId="0" fontId="23" fillId="0" borderId="0"/>
    <xf numFmtId="0" fontId="23" fillId="0" borderId="0"/>
    <xf numFmtId="164" fontId="52" fillId="0" borderId="0" applyFont="0" applyFill="0" applyBorder="0" applyAlignment="0" applyProtection="0"/>
    <xf numFmtId="167" fontId="23" fillId="0" borderId="0" applyFont="0" applyFill="0" applyBorder="0" applyAlignment="0" applyProtection="0">
      <alignment vertical="center"/>
    </xf>
    <xf numFmtId="164"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168" fontId="43" fillId="0" borderId="0" applyFill="0" applyBorder="0" applyAlignment="0" applyProtection="0"/>
    <xf numFmtId="164" fontId="52" fillId="0" borderId="0" applyFont="0" applyFill="0" applyBorder="0" applyAlignment="0" applyProtection="0"/>
    <xf numFmtId="0" fontId="23" fillId="0" borderId="0"/>
    <xf numFmtId="164" fontId="23" fillId="0" borderId="0" applyFont="0" applyFill="0" applyBorder="0" applyAlignment="0" applyProtection="0"/>
    <xf numFmtId="164" fontId="4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1" fillId="0" borderId="0"/>
    <xf numFmtId="0" fontId="21" fillId="0" borderId="0"/>
    <xf numFmtId="164" fontId="20" fillId="0" borderId="0" applyFont="0" applyFill="0" applyBorder="0" applyAlignment="0" applyProtection="0"/>
    <xf numFmtId="0" fontId="20" fillId="0" borderId="0"/>
    <xf numFmtId="0" fontId="19" fillId="0" borderId="0"/>
    <xf numFmtId="0" fontId="19" fillId="0" borderId="0"/>
    <xf numFmtId="0" fontId="18" fillId="0" borderId="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43" fontId="18" fillId="0" borderId="0" applyFont="0" applyFill="0" applyBorder="0" applyAlignment="0" applyProtection="0"/>
    <xf numFmtId="164" fontId="47" fillId="0" borderId="0" applyFont="0" applyFill="0" applyBorder="0" applyAlignment="0" applyProtection="0"/>
    <xf numFmtId="0" fontId="17" fillId="0" borderId="0"/>
    <xf numFmtId="43" fontId="17" fillId="0" borderId="0" applyFont="0" applyFill="0" applyBorder="0" applyAlignment="0" applyProtection="0"/>
    <xf numFmtId="0" fontId="16" fillId="0" borderId="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164" fontId="16" fillId="0" borderId="0" applyFont="0" applyFill="0" applyBorder="0" applyAlignment="0" applyProtection="0"/>
    <xf numFmtId="164" fontId="47" fillId="0" borderId="0" applyFont="0" applyFill="0" applyBorder="0" applyAlignment="0" applyProtection="0"/>
    <xf numFmtId="0" fontId="16" fillId="0" borderId="0"/>
    <xf numFmtId="164" fontId="16" fillId="0" borderId="0" applyFont="0" applyFill="0" applyBorder="0" applyAlignment="0" applyProtection="0"/>
    <xf numFmtId="164" fontId="16" fillId="0" borderId="0" applyFont="0" applyFill="0" applyBorder="0" applyAlignment="0" applyProtection="0"/>
    <xf numFmtId="0" fontId="16"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4" fontId="16" fillId="0" borderId="0" applyFont="0" applyFill="0" applyBorder="0" applyAlignment="0" applyProtection="0"/>
    <xf numFmtId="164" fontId="16" fillId="0" borderId="0" applyFont="0" applyFill="0" applyBorder="0" applyAlignment="0" applyProtection="0"/>
    <xf numFmtId="167"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0" fontId="16" fillId="0" borderId="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0" fontId="16" fillId="0" borderId="0"/>
    <xf numFmtId="0" fontId="16" fillId="0" borderId="0"/>
    <xf numFmtId="0" fontId="16" fillId="0" borderId="0"/>
    <xf numFmtId="0" fontId="16" fillId="0" borderId="0"/>
    <xf numFmtId="164" fontId="16" fillId="0" borderId="0" applyFont="0" applyFill="0" applyBorder="0" applyAlignment="0" applyProtection="0"/>
    <xf numFmtId="164" fontId="16" fillId="0" borderId="0" applyFont="0" applyFill="0" applyBorder="0" applyAlignment="0" applyProtection="0"/>
    <xf numFmtId="0" fontId="16" fillId="0" borderId="0"/>
    <xf numFmtId="0" fontId="16" fillId="0" borderId="0"/>
    <xf numFmtId="0" fontId="16" fillId="0" borderId="0"/>
    <xf numFmtId="164" fontId="16" fillId="0" borderId="0" applyFont="0" applyFill="0" applyBorder="0" applyAlignment="0" applyProtection="0"/>
    <xf numFmtId="164" fontId="16" fillId="0" borderId="0" applyFont="0" applyFill="0" applyBorder="0" applyAlignment="0" applyProtection="0"/>
    <xf numFmtId="0" fontId="16" fillId="0" borderId="0"/>
    <xf numFmtId="167"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164" fontId="47" fillId="0" borderId="0" applyFont="0" applyFill="0" applyBorder="0" applyAlignment="0" applyProtection="0"/>
    <xf numFmtId="0" fontId="16" fillId="0" borderId="0"/>
    <xf numFmtId="0" fontId="16" fillId="0" borderId="0"/>
    <xf numFmtId="164" fontId="52" fillId="0" borderId="0" applyFont="0" applyFill="0" applyBorder="0" applyAlignment="0" applyProtection="0"/>
    <xf numFmtId="167" fontId="16" fillId="0" borderId="0" applyFont="0" applyFill="0" applyBorder="0" applyAlignment="0" applyProtection="0">
      <alignment vertical="center"/>
    </xf>
    <xf numFmtId="164"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0" fontId="16" fillId="0" borderId="0"/>
    <xf numFmtId="0" fontId="16" fillId="0" borderId="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164" fontId="16" fillId="0" borderId="0" applyFont="0" applyFill="0" applyBorder="0" applyAlignment="0" applyProtection="0"/>
    <xf numFmtId="164" fontId="47" fillId="0" borderId="0" applyFont="0" applyFill="0" applyBorder="0" applyAlignment="0" applyProtection="0"/>
    <xf numFmtId="0" fontId="16" fillId="0" borderId="0"/>
    <xf numFmtId="164" fontId="16" fillId="0" borderId="0" applyFont="0" applyFill="0" applyBorder="0" applyAlignment="0" applyProtection="0"/>
    <xf numFmtId="164" fontId="16" fillId="0" borderId="0" applyFont="0" applyFill="0" applyBorder="0" applyAlignment="0" applyProtection="0"/>
    <xf numFmtId="0" fontId="16"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4" fontId="16" fillId="0" borderId="0" applyFont="0" applyFill="0" applyBorder="0" applyAlignment="0" applyProtection="0"/>
    <xf numFmtId="164" fontId="16" fillId="0" borderId="0" applyFont="0" applyFill="0" applyBorder="0" applyAlignment="0" applyProtection="0"/>
    <xf numFmtId="167"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0" fontId="16" fillId="0" borderId="0"/>
    <xf numFmtId="0" fontId="16" fillId="0" borderId="0"/>
    <xf numFmtId="164" fontId="47" fillId="0" borderId="0" applyFont="0" applyFill="0" applyBorder="0" applyAlignment="0" applyProtection="0"/>
    <xf numFmtId="164" fontId="16" fillId="0" borderId="0" applyFont="0" applyFill="0" applyBorder="0" applyAlignment="0" applyProtection="0"/>
    <xf numFmtId="0" fontId="16" fillId="0" borderId="0"/>
    <xf numFmtId="0" fontId="16" fillId="0" borderId="0"/>
    <xf numFmtId="0" fontId="16" fillId="0" borderId="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0" fontId="16" fillId="0" borderId="0"/>
    <xf numFmtId="0" fontId="16" fillId="0" borderId="0"/>
    <xf numFmtId="0" fontId="16" fillId="0" borderId="0"/>
    <xf numFmtId="0" fontId="16" fillId="0" borderId="0"/>
    <xf numFmtId="164" fontId="16" fillId="0" borderId="0" applyFont="0" applyFill="0" applyBorder="0" applyAlignment="0" applyProtection="0"/>
    <xf numFmtId="164" fontId="16" fillId="0" borderId="0" applyFont="0" applyFill="0" applyBorder="0" applyAlignment="0" applyProtection="0"/>
    <xf numFmtId="0" fontId="16" fillId="0" borderId="0"/>
    <xf numFmtId="0" fontId="16" fillId="0" borderId="0"/>
    <xf numFmtId="0" fontId="16" fillId="0" borderId="0"/>
    <xf numFmtId="164" fontId="16" fillId="0" borderId="0" applyFont="0" applyFill="0" applyBorder="0" applyAlignment="0" applyProtection="0"/>
    <xf numFmtId="164" fontId="16" fillId="0" borderId="0" applyFont="0" applyFill="0" applyBorder="0" applyAlignment="0" applyProtection="0"/>
    <xf numFmtId="0" fontId="16" fillId="0" borderId="0"/>
    <xf numFmtId="167"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164" fontId="16" fillId="0" borderId="0" applyFont="0" applyFill="0" applyBorder="0" applyAlignment="0" applyProtection="0"/>
    <xf numFmtId="0" fontId="16" fillId="0" borderId="0"/>
    <xf numFmtId="164" fontId="47" fillId="0" borderId="0" applyFont="0" applyFill="0" applyBorder="0" applyAlignment="0" applyProtection="0"/>
    <xf numFmtId="0" fontId="16" fillId="0" borderId="0"/>
    <xf numFmtId="0" fontId="16" fillId="0" borderId="0"/>
    <xf numFmtId="164" fontId="52" fillId="0" borderId="0" applyFont="0" applyFill="0" applyBorder="0" applyAlignment="0" applyProtection="0"/>
    <xf numFmtId="167" fontId="16" fillId="0" borderId="0" applyFont="0" applyFill="0" applyBorder="0" applyAlignment="0" applyProtection="0">
      <alignment vertical="center"/>
    </xf>
    <xf numFmtId="164"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164" fontId="52" fillId="0" borderId="0" applyFont="0" applyFill="0" applyBorder="0" applyAlignment="0" applyProtection="0"/>
    <xf numFmtId="0" fontId="16" fillId="0" borderId="0"/>
    <xf numFmtId="164" fontId="16" fillId="0" borderId="0" applyFont="0" applyFill="0" applyBorder="0" applyAlignment="0" applyProtection="0"/>
    <xf numFmtId="164" fontId="43"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164" fontId="16" fillId="0" borderId="0" applyFont="0" applyFill="0" applyBorder="0" applyAlignment="0" applyProtection="0"/>
    <xf numFmtId="164" fontId="47" fillId="0" borderId="0" applyFont="0" applyFill="0" applyBorder="0" applyAlignment="0" applyProtection="0"/>
    <xf numFmtId="0" fontId="16" fillId="0" borderId="0"/>
    <xf numFmtId="164" fontId="16" fillId="0" borderId="0" applyFont="0" applyFill="0" applyBorder="0" applyAlignment="0" applyProtection="0"/>
    <xf numFmtId="0" fontId="16" fillId="0" borderId="0"/>
    <xf numFmtId="167" fontId="47" fillId="0" borderId="0" applyFont="0" applyFill="0" applyBorder="0" applyAlignment="0" applyProtection="0"/>
    <xf numFmtId="164" fontId="43" fillId="0" borderId="0" applyFont="0" applyFill="0" applyBorder="0" applyAlignment="0" applyProtection="0"/>
    <xf numFmtId="0" fontId="16" fillId="0" borderId="0"/>
    <xf numFmtId="164" fontId="16" fillId="0" borderId="0" applyFont="0" applyFill="0" applyBorder="0" applyAlignment="0" applyProtection="0"/>
    <xf numFmtId="164"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4" fontId="16" fillId="0" borderId="0" applyFont="0" applyFill="0" applyBorder="0" applyAlignment="0" applyProtection="0"/>
    <xf numFmtId="0" fontId="16" fillId="0" borderId="0"/>
    <xf numFmtId="164" fontId="16" fillId="0" borderId="0" applyFont="0" applyFill="0" applyBorder="0" applyAlignment="0" applyProtection="0"/>
    <xf numFmtId="164" fontId="52" fillId="0" borderId="0" applyFont="0" applyFill="0" applyBorder="0" applyAlignment="0" applyProtection="0"/>
    <xf numFmtId="164" fontId="16"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0" fontId="16" fillId="0" borderId="0"/>
    <xf numFmtId="167" fontId="47" fillId="0" borderId="0" applyFont="0" applyFill="0" applyBorder="0" applyAlignment="0" applyProtection="0"/>
    <xf numFmtId="164" fontId="16" fillId="0" borderId="0" applyFont="0" applyFill="0" applyBorder="0" applyAlignment="0" applyProtection="0"/>
    <xf numFmtId="0" fontId="16" fillId="0" borderId="0"/>
    <xf numFmtId="164" fontId="16" fillId="0" borderId="0" applyFont="0" applyFill="0" applyBorder="0" applyAlignment="0" applyProtection="0"/>
    <xf numFmtId="164" fontId="16" fillId="0" borderId="0" applyFont="0" applyFill="0" applyBorder="0" applyAlignment="0" applyProtection="0"/>
    <xf numFmtId="0" fontId="16" fillId="0" borderId="0"/>
    <xf numFmtId="0" fontId="16" fillId="0" borderId="0"/>
    <xf numFmtId="0" fontId="16" fillId="0" borderId="0"/>
    <xf numFmtId="0" fontId="16" fillId="0" borderId="0"/>
    <xf numFmtId="164" fontId="16" fillId="0" borderId="0" applyFont="0" applyFill="0" applyBorder="0" applyAlignment="0" applyProtection="0"/>
    <xf numFmtId="164" fontId="16" fillId="0" borderId="0" applyFont="0" applyFill="0" applyBorder="0" applyAlignment="0" applyProtection="0"/>
    <xf numFmtId="0" fontId="16" fillId="0" borderId="0"/>
    <xf numFmtId="0" fontId="16" fillId="0" borderId="0"/>
    <xf numFmtId="0" fontId="16" fillId="0" borderId="0"/>
    <xf numFmtId="0" fontId="15" fillId="0" borderId="0"/>
    <xf numFmtId="0" fontId="15" fillId="0" borderId="0"/>
    <xf numFmtId="0" fontId="15" fillId="0" borderId="0"/>
    <xf numFmtId="0" fontId="14" fillId="0" borderId="0"/>
    <xf numFmtId="164" fontId="14"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47"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7"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167"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164" fontId="47" fillId="0" borderId="0" applyFont="0" applyFill="0" applyBorder="0" applyAlignment="0" applyProtection="0"/>
    <xf numFmtId="0" fontId="13" fillId="0" borderId="0"/>
    <xf numFmtId="0" fontId="13" fillId="0" borderId="0"/>
    <xf numFmtId="164" fontId="52" fillId="0" borderId="0" applyFont="0" applyFill="0" applyBorder="0" applyAlignment="0" applyProtection="0"/>
    <xf numFmtId="167" fontId="13" fillId="0" borderId="0" applyFont="0" applyFill="0" applyBorder="0" applyAlignment="0" applyProtection="0">
      <alignment vertical="center"/>
    </xf>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47"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7"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164" fontId="47"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167"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164" fontId="47" fillId="0" borderId="0" applyFont="0" applyFill="0" applyBorder="0" applyAlignment="0" applyProtection="0"/>
    <xf numFmtId="0" fontId="13" fillId="0" borderId="0"/>
    <xf numFmtId="0" fontId="13" fillId="0" borderId="0"/>
    <xf numFmtId="164" fontId="52" fillId="0" borderId="0" applyFont="0" applyFill="0" applyBorder="0" applyAlignment="0" applyProtection="0"/>
    <xf numFmtId="167" fontId="13" fillId="0" borderId="0" applyFont="0" applyFill="0" applyBorder="0" applyAlignment="0" applyProtection="0">
      <alignment vertical="center"/>
    </xf>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4" fontId="52" fillId="0" borderId="0" applyFont="0" applyFill="0" applyBorder="0" applyAlignment="0" applyProtection="0"/>
    <xf numFmtId="0" fontId="13" fillId="0" borderId="0"/>
    <xf numFmtId="164" fontId="13" fillId="0" borderId="0" applyFont="0" applyFill="0" applyBorder="0" applyAlignment="0" applyProtection="0"/>
    <xf numFmtId="164" fontId="4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164" fontId="47"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47"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7"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167"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164" fontId="47" fillId="0" borderId="0" applyFont="0" applyFill="0" applyBorder="0" applyAlignment="0" applyProtection="0"/>
    <xf numFmtId="0" fontId="13" fillId="0" borderId="0"/>
    <xf numFmtId="0" fontId="13" fillId="0" borderId="0"/>
    <xf numFmtId="164" fontId="52" fillId="0" borderId="0" applyFont="0" applyFill="0" applyBorder="0" applyAlignment="0" applyProtection="0"/>
    <xf numFmtId="167" fontId="13" fillId="0" borderId="0" applyFont="0" applyFill="0" applyBorder="0" applyAlignment="0" applyProtection="0">
      <alignment vertical="center"/>
    </xf>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47"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7"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164" fontId="47"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167"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164" fontId="13" fillId="0" borderId="0" applyFont="0" applyFill="0" applyBorder="0" applyAlignment="0" applyProtection="0"/>
    <xf numFmtId="0" fontId="13" fillId="0" borderId="0"/>
    <xf numFmtId="164" fontId="47" fillId="0" borderId="0" applyFont="0" applyFill="0" applyBorder="0" applyAlignment="0" applyProtection="0"/>
    <xf numFmtId="0" fontId="13" fillId="0" borderId="0"/>
    <xf numFmtId="0" fontId="13" fillId="0" borderId="0"/>
    <xf numFmtId="164" fontId="52" fillId="0" borderId="0" applyFont="0" applyFill="0" applyBorder="0" applyAlignment="0" applyProtection="0"/>
    <xf numFmtId="167" fontId="13" fillId="0" borderId="0" applyFont="0" applyFill="0" applyBorder="0" applyAlignment="0" applyProtection="0">
      <alignment vertical="center"/>
    </xf>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4" fontId="52" fillId="0" borderId="0" applyFont="0" applyFill="0" applyBorder="0" applyAlignment="0" applyProtection="0"/>
    <xf numFmtId="0" fontId="13" fillId="0" borderId="0"/>
    <xf numFmtId="164" fontId="13" fillId="0" borderId="0" applyFont="0" applyFill="0" applyBorder="0" applyAlignment="0" applyProtection="0"/>
    <xf numFmtId="164" fontId="4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164" fontId="47"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64" fontId="4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164" fontId="13" fillId="0" borderId="0" applyFont="0" applyFill="0" applyBorder="0" applyAlignment="0" applyProtection="0"/>
    <xf numFmtId="164" fontId="52" fillId="0" borderId="0" applyFont="0" applyFill="0" applyBorder="0" applyAlignment="0" applyProtection="0"/>
    <xf numFmtId="164" fontId="1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2" fillId="0" borderId="0"/>
    <xf numFmtId="0" fontId="12" fillId="0" borderId="0"/>
    <xf numFmtId="0" fontId="12" fillId="0" borderId="0"/>
    <xf numFmtId="0" fontId="11" fillId="0" borderId="0"/>
    <xf numFmtId="0" fontId="11" fillId="0" borderId="0"/>
    <xf numFmtId="167" fontId="59" fillId="0" borderId="0" applyFont="0" applyFill="0" applyBorder="0" applyAlignment="0" applyProtection="0"/>
    <xf numFmtId="167" fontId="44" fillId="0" borderId="0" applyFont="0" applyFill="0" applyBorder="0" applyAlignment="0" applyProtection="0">
      <alignment vertical="center"/>
    </xf>
    <xf numFmtId="167" fontId="44" fillId="0" borderId="0" applyFont="0" applyFill="0" applyBorder="0" applyAlignment="0" applyProtection="0">
      <alignment vertical="center"/>
    </xf>
    <xf numFmtId="166" fontId="44" fillId="0" borderId="0" applyFont="0" applyFill="0" applyBorder="0" applyAlignment="0" applyProtection="0">
      <alignment vertical="center"/>
    </xf>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7" fontId="47" fillId="0" borderId="0" applyFont="0" applyFill="0" applyBorder="0" applyAlignment="0" applyProtection="0"/>
    <xf numFmtId="167"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7" fontId="52" fillId="0" borderId="0" applyFont="0" applyFill="0" applyBorder="0" applyAlignment="0" applyProtection="0"/>
    <xf numFmtId="167" fontId="59" fillId="0" borderId="0" applyFont="0" applyFill="0" applyBorder="0" applyAlignment="0" applyProtection="0"/>
    <xf numFmtId="167" fontId="43"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7" fontId="43" fillId="0" borderId="0" applyFont="0" applyFill="0" applyBorder="0" applyAlignment="0" applyProtection="0"/>
    <xf numFmtId="167" fontId="44" fillId="0" borderId="0" applyFont="0" applyFill="0" applyBorder="0" applyAlignment="0" applyProtection="0">
      <alignment vertical="center"/>
    </xf>
    <xf numFmtId="167" fontId="44" fillId="0" borderId="0" applyFont="0" applyFill="0" applyBorder="0" applyAlignment="0" applyProtection="0">
      <alignment vertical="center"/>
    </xf>
    <xf numFmtId="167" fontId="43" fillId="0" borderId="0" applyFont="0" applyFill="0" applyBorder="0" applyAlignment="0" applyProtection="0"/>
    <xf numFmtId="167" fontId="44" fillId="0" borderId="0" applyFont="0" applyFill="0" applyBorder="0" applyAlignment="0" applyProtection="0">
      <alignment vertical="center"/>
    </xf>
    <xf numFmtId="167" fontId="52"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6" fontId="44" fillId="0" borderId="0" applyFont="0" applyFill="0" applyBorder="0" applyAlignment="0" applyProtection="0">
      <alignment vertical="center"/>
    </xf>
    <xf numFmtId="167" fontId="43" fillId="0" borderId="0" applyFont="0" applyFill="0" applyBorder="0" applyAlignment="0" applyProtection="0"/>
    <xf numFmtId="167" fontId="43" fillId="0" borderId="0" applyFont="0" applyFill="0" applyBorder="0" applyAlignment="0" applyProtection="0"/>
    <xf numFmtId="167" fontId="52" fillId="0" borderId="0" applyFont="0" applyFill="0" applyBorder="0" applyAlignment="0" applyProtection="0"/>
    <xf numFmtId="167" fontId="43"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7" fontId="52"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7" fontId="10" fillId="0" borderId="0" applyFont="0" applyFill="0" applyBorder="0" applyAlignment="0" applyProtection="0"/>
    <xf numFmtId="167" fontId="43"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7" fontId="10" fillId="0" borderId="0" applyFont="0" applyFill="0" applyBorder="0" applyAlignment="0" applyProtection="0"/>
    <xf numFmtId="0" fontId="10" fillId="0" borderId="0"/>
    <xf numFmtId="0" fontId="10" fillId="0" borderId="0"/>
    <xf numFmtId="167" fontId="47" fillId="0" borderId="0" applyFont="0" applyFill="0" applyBorder="0" applyAlignment="0" applyProtection="0"/>
    <xf numFmtId="167" fontId="10" fillId="0" borderId="0" applyFont="0" applyFill="0" applyBorder="0" applyAlignment="0" applyProtection="0"/>
    <xf numFmtId="0" fontId="10" fillId="0" borderId="0"/>
    <xf numFmtId="0" fontId="10" fillId="0" borderId="0"/>
    <xf numFmtId="167" fontId="59" fillId="0" borderId="0" applyFont="0" applyFill="0" applyBorder="0" applyAlignment="0" applyProtection="0"/>
    <xf numFmtId="167" fontId="44" fillId="0" borderId="0" applyFont="0" applyFill="0" applyBorder="0" applyAlignment="0" applyProtection="0">
      <alignment vertical="center"/>
    </xf>
    <xf numFmtId="167" fontId="44" fillId="0" borderId="0" applyFont="0" applyFill="0" applyBorder="0" applyAlignment="0" applyProtection="0">
      <alignment vertical="center"/>
    </xf>
    <xf numFmtId="166" fontId="44" fillId="0" borderId="0" applyFont="0" applyFill="0" applyBorder="0" applyAlignment="0" applyProtection="0">
      <alignment vertical="center"/>
    </xf>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7"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7" fontId="10" fillId="0" borderId="0" applyFont="0" applyFill="0" applyBorder="0" applyAlignment="0" applyProtection="0"/>
    <xf numFmtId="0" fontId="10" fillId="0" borderId="0"/>
    <xf numFmtId="0" fontId="10" fillId="0" borderId="0"/>
    <xf numFmtId="167"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7" fontId="43" fillId="0" borderId="0" applyFont="0" applyFill="0" applyBorder="0" applyProtection="0">
      <alignment horizontal="justify" vertical="top"/>
    </xf>
    <xf numFmtId="164"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alignment vertical="center"/>
    </xf>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7"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7"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alignment vertical="center"/>
    </xf>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167" fontId="10" fillId="0" borderId="0" applyFont="0" applyFill="0" applyBorder="0" applyAlignment="0" applyProtection="0"/>
    <xf numFmtId="0" fontId="10" fillId="0" borderId="0"/>
    <xf numFmtId="167" fontId="10"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7"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7"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alignment vertical="center"/>
    </xf>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7"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7"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alignment vertical="center"/>
    </xf>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0" fontId="10" fillId="0" borderId="0"/>
    <xf numFmtId="167" fontId="47"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7" fontId="47" fillId="0" borderId="0" applyFont="0" applyFill="0" applyBorder="0" applyAlignment="0" applyProtection="0"/>
    <xf numFmtId="164" fontId="10"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7"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7"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alignment vertical="center"/>
    </xf>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7"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7"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alignment vertical="center"/>
    </xf>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7"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7"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alignment vertical="center"/>
    </xf>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7"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7"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alignment vertical="center"/>
    </xf>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167" fontId="59" fillId="0" borderId="0" applyFont="0" applyFill="0" applyBorder="0" applyAlignment="0" applyProtection="0"/>
    <xf numFmtId="167" fontId="44" fillId="0" borderId="0" applyFont="0" applyFill="0" applyBorder="0" applyAlignment="0" applyProtection="0">
      <alignment vertical="center"/>
    </xf>
    <xf numFmtId="167" fontId="44" fillId="0" borderId="0" applyFont="0" applyFill="0" applyBorder="0" applyAlignment="0" applyProtection="0">
      <alignment vertical="center"/>
    </xf>
    <xf numFmtId="166" fontId="44" fillId="0" borderId="0" applyFont="0" applyFill="0" applyBorder="0" applyAlignment="0" applyProtection="0">
      <alignment vertical="center"/>
    </xf>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7" fontId="47"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7" fontId="52" fillId="0" borderId="0" applyFont="0" applyFill="0" applyBorder="0" applyAlignment="0" applyProtection="0"/>
    <xf numFmtId="167" fontId="59" fillId="0" borderId="0" applyFont="0" applyFill="0" applyBorder="0" applyAlignment="0" applyProtection="0"/>
    <xf numFmtId="167" fontId="43"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7" fontId="43" fillId="0" borderId="0" applyFont="0" applyFill="0" applyBorder="0" applyAlignment="0" applyProtection="0"/>
    <xf numFmtId="167" fontId="44" fillId="0" borderId="0" applyFont="0" applyFill="0" applyBorder="0" applyAlignment="0" applyProtection="0">
      <alignment vertical="center"/>
    </xf>
    <xf numFmtId="167" fontId="44" fillId="0" borderId="0" applyFont="0" applyFill="0" applyBorder="0" applyAlignment="0" applyProtection="0">
      <alignment vertical="center"/>
    </xf>
    <xf numFmtId="167" fontId="43" fillId="0" borderId="0" applyFont="0" applyFill="0" applyBorder="0" applyAlignment="0" applyProtection="0"/>
    <xf numFmtId="167" fontId="44" fillId="0" borderId="0" applyFont="0" applyFill="0" applyBorder="0" applyAlignment="0" applyProtection="0">
      <alignment vertical="center"/>
    </xf>
    <xf numFmtId="167" fontId="52"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6" fontId="44" fillId="0" borderId="0" applyFont="0" applyFill="0" applyBorder="0" applyAlignment="0" applyProtection="0">
      <alignment vertical="center"/>
    </xf>
    <xf numFmtId="167" fontId="43" fillId="0" borderId="0" applyFont="0" applyFill="0" applyBorder="0" applyAlignment="0" applyProtection="0"/>
    <xf numFmtId="167" fontId="43" fillId="0" borderId="0" applyFont="0" applyFill="0" applyBorder="0" applyAlignment="0" applyProtection="0"/>
    <xf numFmtId="167" fontId="52" fillId="0" borderId="0" applyFont="0" applyFill="0" applyBorder="0" applyAlignment="0" applyProtection="0"/>
    <xf numFmtId="167" fontId="43" fillId="0" borderId="0" applyFont="0" applyFill="0" applyBorder="0" applyAlignment="0" applyProtection="0"/>
    <xf numFmtId="167" fontId="44" fillId="0" borderId="0" applyFont="0" applyFill="0" applyBorder="0" applyAlignment="0" applyProtection="0">
      <alignment vertical="center"/>
    </xf>
    <xf numFmtId="167" fontId="43" fillId="0" borderId="0" applyFont="0" applyFill="0" applyBorder="0" applyAlignment="0" applyProtection="0"/>
    <xf numFmtId="167" fontId="52"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167" fontId="43"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7" fontId="43"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167" fontId="9" fillId="0" borderId="0" applyFont="0" applyFill="0" applyBorder="0" applyAlignment="0" applyProtection="0"/>
    <xf numFmtId="0" fontId="9" fillId="0" borderId="0"/>
    <xf numFmtId="0" fontId="9" fillId="0" borderId="0"/>
    <xf numFmtId="167" fontId="59" fillId="0" borderId="0" applyFont="0" applyFill="0" applyBorder="0" applyAlignment="0" applyProtection="0"/>
    <xf numFmtId="167" fontId="44" fillId="0" borderId="0" applyFont="0" applyFill="0" applyBorder="0" applyAlignment="0" applyProtection="0">
      <alignment vertical="center"/>
    </xf>
    <xf numFmtId="167" fontId="44" fillId="0" borderId="0" applyFont="0" applyFill="0" applyBorder="0" applyAlignment="0" applyProtection="0">
      <alignment vertical="center"/>
    </xf>
    <xf numFmtId="166" fontId="44" fillId="0" borderId="0" applyFont="0" applyFill="0" applyBorder="0" applyAlignment="0" applyProtection="0">
      <alignment vertical="center"/>
    </xf>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7"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167" fontId="9" fillId="0" borderId="0" applyFont="0" applyFill="0" applyBorder="0" applyAlignment="0" applyProtection="0"/>
    <xf numFmtId="0" fontId="9" fillId="0" borderId="0"/>
    <xf numFmtId="0" fontId="9" fillId="0" borderId="0"/>
    <xf numFmtId="167"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7" fontId="43" fillId="0" borderId="0" applyFont="0" applyFill="0" applyBorder="0" applyProtection="0">
      <alignment horizontal="justify" vertical="top"/>
    </xf>
    <xf numFmtId="164" fontId="9" fillId="0" borderId="0" applyFont="0" applyFill="0" applyBorder="0" applyAlignment="0" applyProtection="0"/>
    <xf numFmtId="0" fontId="9" fillId="0" borderId="0"/>
    <xf numFmtId="0" fontId="9" fillId="0" borderId="0"/>
    <xf numFmtId="0" fontId="9" fillId="0" borderId="0"/>
    <xf numFmtId="167" fontId="9" fillId="0" borderId="0" applyFont="0" applyFill="0" applyBorder="0" applyAlignment="0" applyProtection="0">
      <alignment vertical="center"/>
    </xf>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7"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7"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167" fontId="9" fillId="0" borderId="0" applyFont="0" applyFill="0" applyBorder="0" applyAlignment="0" applyProtection="0">
      <alignment vertical="center"/>
    </xf>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167" fontId="9" fillId="0" borderId="0" applyFont="0" applyFill="0" applyBorder="0" applyAlignment="0" applyProtection="0"/>
    <xf numFmtId="0" fontId="9" fillId="0" borderId="0"/>
    <xf numFmtId="167"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7"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167" fontId="9" fillId="0" borderId="0" applyFont="0" applyFill="0" applyBorder="0" applyAlignment="0" applyProtection="0">
      <alignment vertical="center"/>
    </xf>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7"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167" fontId="9" fillId="0" borderId="0" applyFont="0" applyFill="0" applyBorder="0" applyAlignment="0" applyProtection="0">
      <alignment vertical="center"/>
    </xf>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167" fontId="47"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7" fontId="47" fillId="0" borderId="0" applyFont="0" applyFill="0" applyBorder="0" applyAlignment="0" applyProtection="0"/>
    <xf numFmtId="164"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7"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167" fontId="9" fillId="0" borderId="0" applyFont="0" applyFill="0" applyBorder="0" applyAlignment="0" applyProtection="0">
      <alignment vertical="center"/>
    </xf>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7"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167" fontId="9" fillId="0" borderId="0" applyFont="0" applyFill="0" applyBorder="0" applyAlignment="0" applyProtection="0">
      <alignment vertical="center"/>
    </xf>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7"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167" fontId="9" fillId="0" borderId="0" applyFont="0" applyFill="0" applyBorder="0" applyAlignment="0" applyProtection="0">
      <alignment vertical="center"/>
    </xf>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7"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167" fontId="9" fillId="0" borderId="0" applyFont="0" applyFill="0" applyBorder="0" applyAlignment="0" applyProtection="0">
      <alignment vertical="center"/>
    </xf>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6" fillId="0" borderId="0"/>
    <xf numFmtId="0" fontId="6" fillId="0" borderId="0"/>
    <xf numFmtId="0" fontId="5" fillId="0" borderId="0"/>
    <xf numFmtId="0" fontId="5" fillId="0" borderId="0"/>
    <xf numFmtId="0" fontId="79" fillId="0" borderId="0" applyNumberFormat="0" applyFill="0" applyBorder="0" applyProtection="0"/>
    <xf numFmtId="0" fontId="43" fillId="0" borderId="0"/>
    <xf numFmtId="9" fontId="52" fillId="0" borderId="0" applyFont="0" applyFill="0" applyBorder="0" applyAlignment="0" applyProtection="0"/>
    <xf numFmtId="0" fontId="84" fillId="0" borderId="0"/>
    <xf numFmtId="0" fontId="43" fillId="0" borderId="0"/>
    <xf numFmtId="0" fontId="43" fillId="0" borderId="0"/>
    <xf numFmtId="0" fontId="86" fillId="0" borderId="0"/>
    <xf numFmtId="43" fontId="43" fillId="0" borderId="0" applyFill="0" applyBorder="0" applyAlignment="0" applyProtection="0"/>
    <xf numFmtId="170" fontId="87" fillId="0" borderId="0" applyFill="0" applyBorder="0" applyAlignment="0"/>
    <xf numFmtId="185" fontId="83" fillId="0" borderId="0" applyFill="0" applyBorder="0" applyAlignment="0" applyProtection="0"/>
    <xf numFmtId="0" fontId="43" fillId="0" borderId="0"/>
    <xf numFmtId="0" fontId="43" fillId="0" borderId="0"/>
    <xf numFmtId="0" fontId="43" fillId="0" borderId="0"/>
    <xf numFmtId="0" fontId="43" fillId="0" borderId="0"/>
    <xf numFmtId="0" fontId="43" fillId="0" borderId="0"/>
    <xf numFmtId="189" fontId="83" fillId="0" borderId="0" applyFill="0" applyBorder="0" applyAlignment="0" applyProtection="0"/>
    <xf numFmtId="0" fontId="43" fillId="0" borderId="0"/>
    <xf numFmtId="174" fontId="85" fillId="0" borderId="0"/>
    <xf numFmtId="190" fontId="83" fillId="0" borderId="0" applyFill="0" applyBorder="0" applyAlignment="0" applyProtection="0"/>
    <xf numFmtId="0" fontId="43" fillId="0" borderId="0"/>
    <xf numFmtId="183" fontId="83" fillId="0" borderId="0" applyFill="0" applyBorder="0" applyAlignment="0" applyProtection="0"/>
    <xf numFmtId="184" fontId="83" fillId="0" borderId="0" applyFill="0" applyBorder="0" applyAlignment="0" applyProtection="0"/>
    <xf numFmtId="40" fontId="83" fillId="0" borderId="0" applyFill="0" applyBorder="0" applyAlignment="0" applyProtection="0"/>
    <xf numFmtId="38" fontId="83" fillId="0" borderId="0" applyFill="0" applyBorder="0" applyAlignment="0" applyProtection="0"/>
    <xf numFmtId="0" fontId="43" fillId="0" borderId="0"/>
    <xf numFmtId="0" fontId="43" fillId="0" borderId="0"/>
    <xf numFmtId="0" fontId="43" fillId="0" borderId="0"/>
    <xf numFmtId="0" fontId="88" fillId="0" borderId="0" applyBorder="0" applyProtection="0"/>
    <xf numFmtId="0" fontId="43" fillId="0" borderId="0"/>
    <xf numFmtId="0" fontId="91" fillId="0" borderId="0" applyBorder="0" applyProtection="0"/>
    <xf numFmtId="0" fontId="92" fillId="0" borderId="0" applyNumberFormat="0" applyFont="0" applyFill="0" applyAlignment="0"/>
    <xf numFmtId="0" fontId="43" fillId="0" borderId="0"/>
    <xf numFmtId="188" fontId="43" fillId="0" borderId="0" applyFill="0" applyBorder="0" applyAlignment="0"/>
    <xf numFmtId="170" fontId="87" fillId="0" borderId="0" applyFill="0" applyBorder="0" applyAlignment="0"/>
    <xf numFmtId="177" fontId="87" fillId="0" borderId="0" applyFill="0" applyBorder="0" applyAlignment="0"/>
    <xf numFmtId="178" fontId="93" fillId="0" borderId="0" applyFill="0" applyBorder="0" applyAlignment="0"/>
    <xf numFmtId="192" fontId="93" fillId="0" borderId="0" applyFill="0" applyBorder="0" applyAlignment="0"/>
    <xf numFmtId="188" fontId="43" fillId="0" borderId="0" applyFill="0" applyBorder="0" applyAlignment="0"/>
    <xf numFmtId="191" fontId="43" fillId="0" borderId="0" applyFill="0" applyBorder="0" applyAlignment="0"/>
    <xf numFmtId="170" fontId="87" fillId="0" borderId="0" applyFill="0" applyBorder="0" applyAlignment="0"/>
    <xf numFmtId="188" fontId="43" fillId="0" borderId="0" applyFont="0" applyFill="0" applyBorder="0" applyAlignment="0" applyProtection="0"/>
    <xf numFmtId="0" fontId="43" fillId="0" borderId="0"/>
    <xf numFmtId="188" fontId="43" fillId="0" borderId="0" applyFill="0" applyBorder="0" applyAlignment="0"/>
    <xf numFmtId="164" fontId="90" fillId="0" borderId="0" applyFont="0" applyFill="0" applyBorder="0" applyAlignment="0" applyProtection="0"/>
    <xf numFmtId="43" fontId="43" fillId="0" borderId="0" applyFont="0" applyFill="0" applyBorder="0" applyAlignment="0" applyProtection="0"/>
    <xf numFmtId="0" fontId="43" fillId="0" borderId="0"/>
    <xf numFmtId="0" fontId="43" fillId="0" borderId="0"/>
    <xf numFmtId="43" fontId="90" fillId="0" borderId="0" applyFont="0" applyFill="0" applyBorder="0" applyAlignment="0" applyProtection="0"/>
    <xf numFmtId="164" fontId="52" fillId="0" borderId="0" applyFont="0" applyFill="0" applyBorder="0" applyAlignment="0" applyProtection="0"/>
    <xf numFmtId="171" fontId="89" fillId="0" borderId="0" applyBorder="0" applyProtection="0"/>
    <xf numFmtId="0" fontId="43" fillId="0" borderId="0" applyFont="0" applyFill="0" applyBorder="0" applyAlignment="0" applyProtection="0"/>
    <xf numFmtId="43" fontId="43" fillId="0" borderId="0" applyFill="0" applyBorder="0" applyAlignment="0" applyProtection="0"/>
    <xf numFmtId="0" fontId="43" fillId="0" borderId="0" applyFont="0" applyFill="0" applyBorder="0" applyAlignment="0" applyProtection="0"/>
    <xf numFmtId="43" fontId="43" fillId="0" borderId="0" applyFont="0" applyFill="0" applyBorder="0" applyAlignment="0" applyProtection="0"/>
    <xf numFmtId="189" fontId="83" fillId="0" borderId="0" applyFill="0" applyBorder="0" applyAlignment="0" applyProtection="0"/>
    <xf numFmtId="171" fontId="89" fillId="0" borderId="0" applyBorder="0" applyProtection="0"/>
    <xf numFmtId="0" fontId="43" fillId="0" borderId="0"/>
    <xf numFmtId="43" fontId="43" fillId="0" borderId="0" applyFill="0" applyBorder="0" applyAlignment="0" applyProtection="0"/>
    <xf numFmtId="0" fontId="88" fillId="0" borderId="0" applyBorder="0" applyProtection="0"/>
    <xf numFmtId="171" fontId="89" fillId="0" borderId="0" applyBorder="0" applyProtection="0"/>
    <xf numFmtId="0" fontId="43" fillId="0" borderId="0"/>
    <xf numFmtId="177" fontId="90" fillId="0" borderId="0" applyFont="0" applyFill="0" applyBorder="0" applyAlignment="0" applyProtection="0"/>
    <xf numFmtId="0" fontId="90" fillId="0" borderId="0"/>
    <xf numFmtId="171" fontId="89" fillId="0" borderId="0" applyBorder="0" applyProtection="0"/>
    <xf numFmtId="43" fontId="43" fillId="0" borderId="0" applyFill="0" applyBorder="0" applyAlignment="0" applyProtection="0"/>
    <xf numFmtId="171" fontId="89" fillId="0" borderId="0" applyBorder="0" applyProtection="0"/>
    <xf numFmtId="43" fontId="43" fillId="0" borderId="0" applyFill="0" applyBorder="0" applyAlignment="0" applyProtection="0"/>
    <xf numFmtId="171" fontId="89" fillId="0" borderId="0" applyBorder="0" applyProtection="0"/>
    <xf numFmtId="43" fontId="90" fillId="0" borderId="0" applyFont="0" applyFill="0" applyBorder="0" applyAlignment="0" applyProtection="0"/>
    <xf numFmtId="168" fontId="45" fillId="0" borderId="0" applyFill="0" applyBorder="0" applyAlignment="0" applyProtection="0"/>
    <xf numFmtId="180" fontId="43" fillId="0" borderId="0" applyFont="0" applyFill="0" applyBorder="0" applyAlignment="0" applyProtection="0"/>
    <xf numFmtId="182" fontId="43" fillId="0" borderId="0" applyFill="0" applyBorder="0" applyAlignment="0" applyProtection="0"/>
    <xf numFmtId="43" fontId="43" fillId="0" borderId="0" applyFill="0" applyBorder="0" applyAlignment="0" applyProtection="0"/>
    <xf numFmtId="182" fontId="43" fillId="0" borderId="0" applyFill="0" applyBorder="0" applyAlignment="0" applyProtection="0"/>
    <xf numFmtId="43" fontId="43" fillId="0" borderId="0" applyFont="0" applyFill="0" applyBorder="0" applyAlignment="0" applyProtection="0"/>
    <xf numFmtId="43" fontId="43" fillId="0" borderId="0" applyFill="0" applyBorder="0" applyAlignment="0" applyProtection="0"/>
    <xf numFmtId="0" fontId="43" fillId="0" borderId="0"/>
    <xf numFmtId="181" fontId="43" fillId="0" borderId="0" applyFont="0" applyFill="0" applyBorder="0" applyAlignment="0" applyProtection="0"/>
    <xf numFmtId="181" fontId="43" fillId="0" borderId="0" applyFont="0" applyFill="0" applyBorder="0" applyAlignment="0" applyProtection="0"/>
    <xf numFmtId="168" fontId="52" fillId="0" borderId="0" applyFill="0" applyBorder="0" applyAlignment="0" applyProtection="0"/>
    <xf numFmtId="43" fontId="43" fillId="0" borderId="0" applyFont="0" applyFill="0" applyBorder="0" applyAlignment="0" applyProtection="0"/>
    <xf numFmtId="43" fontId="90" fillId="0" borderId="0" applyFont="0" applyFill="0" applyBorder="0" applyAlignment="0" applyProtection="0"/>
    <xf numFmtId="170" fontId="87" fillId="0" borderId="0" applyFont="0" applyFill="0" applyBorder="0" applyAlignment="0" applyProtection="0"/>
    <xf numFmtId="165" fontId="43" fillId="0" borderId="0" applyFont="0" applyFill="0" applyBorder="0" applyAlignment="0" applyProtection="0"/>
    <xf numFmtId="14" fontId="83" fillId="0" borderId="0" applyFill="0" applyBorder="0" applyAlignment="0"/>
    <xf numFmtId="193" fontId="43" fillId="0" borderId="13">
      <alignment vertical="center"/>
    </xf>
    <xf numFmtId="188" fontId="43" fillId="0" borderId="0" applyFill="0" applyBorder="0" applyAlignment="0"/>
    <xf numFmtId="170" fontId="87" fillId="0" borderId="0" applyFill="0" applyBorder="0" applyAlignment="0"/>
    <xf numFmtId="191" fontId="43" fillId="0" borderId="0" applyFill="0" applyBorder="0" applyAlignment="0"/>
    <xf numFmtId="0" fontId="97" fillId="3" borderId="0"/>
    <xf numFmtId="170" fontId="87" fillId="0" borderId="0" applyFill="0" applyBorder="0" applyAlignment="0"/>
    <xf numFmtId="194" fontId="83" fillId="0" borderId="0" applyFill="0" applyBorder="0" applyAlignment="0" applyProtection="0"/>
    <xf numFmtId="0" fontId="83" fillId="0" borderId="0" applyBorder="0" applyProtection="0"/>
    <xf numFmtId="0" fontId="52" fillId="0" borderId="0"/>
    <xf numFmtId="0" fontId="43" fillId="0" borderId="0"/>
    <xf numFmtId="38" fontId="96" fillId="26" borderId="0" applyNumberFormat="0" applyBorder="0" applyAlignment="0" applyProtection="0"/>
    <xf numFmtId="0" fontId="98" fillId="0" borderId="2" applyNumberFormat="0" applyAlignment="0" applyProtection="0">
      <alignment horizontal="left" vertical="center"/>
    </xf>
    <xf numFmtId="0" fontId="84" fillId="0" borderId="0"/>
    <xf numFmtId="0" fontId="98" fillId="0" borderId="12">
      <alignment horizontal="left" vertical="center"/>
    </xf>
    <xf numFmtId="10" fontId="96" fillId="27" borderId="1" applyNumberFormat="0" applyBorder="0" applyAlignment="0" applyProtection="0"/>
    <xf numFmtId="188" fontId="43" fillId="0" borderId="0" applyFill="0" applyBorder="0" applyAlignment="0"/>
    <xf numFmtId="170" fontId="87" fillId="0" borderId="0" applyFill="0" applyBorder="0" applyAlignment="0"/>
    <xf numFmtId="188" fontId="43" fillId="0" borderId="0" applyFill="0" applyBorder="0" applyAlignment="0"/>
    <xf numFmtId="191" fontId="43" fillId="0" borderId="0" applyFill="0" applyBorder="0" applyAlignment="0"/>
    <xf numFmtId="179" fontId="83" fillId="0" borderId="0" applyFill="0" applyBorder="0" applyAlignment="0" applyProtection="0"/>
    <xf numFmtId="187" fontId="83" fillId="0" borderId="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90" fillId="0" borderId="0"/>
    <xf numFmtId="0" fontId="43" fillId="0" borderId="0"/>
    <xf numFmtId="0" fontId="43" fillId="0" borderId="0"/>
    <xf numFmtId="0" fontId="43" fillId="0" borderId="0"/>
    <xf numFmtId="0" fontId="88" fillId="0" borderId="0" applyBorder="0" applyProtection="0"/>
    <xf numFmtId="0" fontId="43" fillId="0" borderId="0"/>
    <xf numFmtId="0" fontId="43" fillId="0" borderId="0"/>
    <xf numFmtId="0" fontId="90" fillId="0" borderId="0"/>
    <xf numFmtId="0" fontId="45" fillId="0" borderId="0"/>
    <xf numFmtId="0" fontId="43" fillId="0" borderId="0">
      <alignment vertical="top"/>
    </xf>
    <xf numFmtId="0" fontId="90" fillId="0" borderId="0"/>
    <xf numFmtId="0" fontId="52" fillId="0" borderId="0"/>
    <xf numFmtId="0" fontId="43" fillId="0" borderId="0"/>
    <xf numFmtId="0" fontId="90" fillId="0" borderId="0"/>
    <xf numFmtId="0" fontId="45" fillId="0" borderId="0"/>
    <xf numFmtId="0" fontId="89" fillId="0" borderId="0"/>
    <xf numFmtId="0" fontId="43" fillId="0" borderId="0"/>
    <xf numFmtId="0" fontId="89" fillId="0" borderId="0"/>
    <xf numFmtId="0" fontId="96" fillId="0" borderId="0"/>
    <xf numFmtId="0" fontId="84" fillId="0" borderId="0"/>
    <xf numFmtId="0" fontId="90" fillId="0" borderId="0"/>
    <xf numFmtId="0" fontId="43" fillId="0" borderId="0"/>
    <xf numFmtId="0" fontId="90" fillId="0" borderId="0"/>
    <xf numFmtId="0" fontId="52" fillId="0" borderId="0" applyNumberFormat="0" applyFill="0" applyBorder="0" applyProtection="0"/>
    <xf numFmtId="0" fontId="90" fillId="0" borderId="0"/>
    <xf numFmtId="0" fontId="99" fillId="0" borderId="0"/>
    <xf numFmtId="192" fontId="93" fillId="0" borderId="0" applyFont="0" applyFill="0" applyBorder="0" applyAlignment="0" applyProtection="0"/>
    <xf numFmtId="10"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188" fontId="43" fillId="0" borderId="0" applyFill="0" applyBorder="0" applyAlignment="0"/>
    <xf numFmtId="170" fontId="87" fillId="0" borderId="0" applyFill="0" applyBorder="0" applyAlignment="0"/>
    <xf numFmtId="188" fontId="43" fillId="0" borderId="0" applyFill="0" applyBorder="0" applyAlignment="0"/>
    <xf numFmtId="191" fontId="43" fillId="0" borderId="0" applyFill="0" applyBorder="0" applyAlignment="0"/>
    <xf numFmtId="170" fontId="87" fillId="0" borderId="0" applyFill="0" applyBorder="0" applyAlignment="0"/>
    <xf numFmtId="0" fontId="83" fillId="0" borderId="0" applyBorder="0" applyProtection="0"/>
    <xf numFmtId="0" fontId="45" fillId="0" borderId="0"/>
    <xf numFmtId="184" fontId="83" fillId="0" borderId="0" applyFill="0" applyBorder="0" applyAlignment="0" applyProtection="0"/>
    <xf numFmtId="49" fontId="83" fillId="0" borderId="0" applyFill="0" applyBorder="0" applyAlignment="0"/>
    <xf numFmtId="195" fontId="43" fillId="0" borderId="0" applyFill="0" applyBorder="0" applyAlignment="0"/>
    <xf numFmtId="186" fontId="43" fillId="0" borderId="0" applyFill="0" applyBorder="0" applyAlignment="0"/>
    <xf numFmtId="1" fontId="43" fillId="0" borderId="0">
      <alignment vertical="center"/>
    </xf>
    <xf numFmtId="196" fontId="94" fillId="0" borderId="0" applyFont="0" applyFill="0" applyBorder="0" applyAlignment="0" applyProtection="0"/>
    <xf numFmtId="167" fontId="94" fillId="0" borderId="0" applyFont="0" applyFill="0" applyBorder="0" applyAlignment="0" applyProtection="0"/>
    <xf numFmtId="0" fontId="95" fillId="0" borderId="0" applyFont="0" applyFill="0" applyBorder="0" applyAlignment="0" applyProtection="0"/>
    <xf numFmtId="0" fontId="95" fillId="0" borderId="0" applyFont="0" applyFill="0" applyBorder="0" applyAlignment="0" applyProtection="0"/>
    <xf numFmtId="0" fontId="95" fillId="0" borderId="0"/>
    <xf numFmtId="40" fontId="83" fillId="0" borderId="0" applyFill="0" applyBorder="0" applyAlignment="0" applyProtection="0"/>
    <xf numFmtId="38" fontId="83" fillId="0" borderId="0" applyFill="0" applyBorder="0" applyAlignment="0" applyProtection="0"/>
    <xf numFmtId="0" fontId="100"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7"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7" fillId="0" borderId="0" applyFont="0" applyFill="0" applyBorder="0" applyAlignment="0" applyProtection="0"/>
    <xf numFmtId="0" fontId="4" fillId="0" borderId="0"/>
    <xf numFmtId="0" fontId="4" fillId="0" borderId="0"/>
    <xf numFmtId="164" fontId="52" fillId="0" borderId="0" applyFont="0" applyFill="0" applyBorder="0" applyAlignment="0" applyProtection="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7"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7"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7" fillId="0" borderId="0" applyFont="0" applyFill="0" applyBorder="0" applyAlignment="0" applyProtection="0"/>
    <xf numFmtId="0" fontId="4" fillId="0" borderId="0"/>
    <xf numFmtId="0" fontId="4" fillId="0" borderId="0"/>
    <xf numFmtId="164" fontId="52" fillId="0" borderId="0" applyFont="0" applyFill="0" applyBorder="0" applyAlignment="0" applyProtection="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52" fillId="0" borderId="0" applyFont="0" applyFill="0" applyBorder="0" applyAlignment="0" applyProtection="0"/>
    <xf numFmtId="0" fontId="4" fillId="0" borderId="0"/>
    <xf numFmtId="164" fontId="4" fillId="0" borderId="0" applyFont="0" applyFill="0" applyBorder="0" applyAlignment="0" applyProtection="0"/>
    <xf numFmtId="164" fontId="4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7"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7"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7" fillId="0" borderId="0" applyFont="0" applyFill="0" applyBorder="0" applyAlignment="0" applyProtection="0"/>
    <xf numFmtId="0" fontId="4" fillId="0" borderId="0"/>
    <xf numFmtId="0" fontId="4" fillId="0" borderId="0"/>
    <xf numFmtId="164" fontId="52" fillId="0" borderId="0" applyFont="0" applyFill="0" applyBorder="0" applyAlignment="0" applyProtection="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7"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7"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7" fillId="0" borderId="0" applyFont="0" applyFill="0" applyBorder="0" applyAlignment="0" applyProtection="0"/>
    <xf numFmtId="0" fontId="4" fillId="0" borderId="0"/>
    <xf numFmtId="0" fontId="4" fillId="0" borderId="0"/>
    <xf numFmtId="164" fontId="52" fillId="0" borderId="0" applyFont="0" applyFill="0" applyBorder="0" applyAlignment="0" applyProtection="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52" fillId="0" borderId="0" applyFont="0" applyFill="0" applyBorder="0" applyAlignment="0" applyProtection="0"/>
    <xf numFmtId="0" fontId="4" fillId="0" borderId="0"/>
    <xf numFmtId="164" fontId="4" fillId="0" borderId="0" applyFont="0" applyFill="0" applyBorder="0" applyAlignment="0" applyProtection="0"/>
    <xf numFmtId="164" fontId="4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7"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3"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52" fillId="0" borderId="0" applyFont="0" applyFill="0" applyBorder="0" applyAlignment="0" applyProtection="0"/>
    <xf numFmtId="164" fontId="4"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7"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7" fillId="0" borderId="0" applyFont="0" applyFill="0" applyBorder="0" applyAlignment="0" applyProtection="0"/>
    <xf numFmtId="0" fontId="4" fillId="0" borderId="0"/>
    <xf numFmtId="0" fontId="4" fillId="0" borderId="0"/>
    <xf numFmtId="164" fontId="52" fillId="0" borderId="0" applyFont="0" applyFill="0" applyBorder="0" applyAlignment="0" applyProtection="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7"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7"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7" fillId="0" borderId="0" applyFont="0" applyFill="0" applyBorder="0" applyAlignment="0" applyProtection="0"/>
    <xf numFmtId="0" fontId="4" fillId="0" borderId="0"/>
    <xf numFmtId="0" fontId="4" fillId="0" borderId="0"/>
    <xf numFmtId="164" fontId="52" fillId="0" borderId="0" applyFont="0" applyFill="0" applyBorder="0" applyAlignment="0" applyProtection="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52" fillId="0" borderId="0" applyFont="0" applyFill="0" applyBorder="0" applyAlignment="0" applyProtection="0"/>
    <xf numFmtId="0" fontId="4" fillId="0" borderId="0"/>
    <xf numFmtId="164" fontId="4" fillId="0" borderId="0" applyFont="0" applyFill="0" applyBorder="0" applyAlignment="0" applyProtection="0"/>
    <xf numFmtId="164" fontId="4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7"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7"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7" fillId="0" borderId="0" applyFont="0" applyFill="0" applyBorder="0" applyAlignment="0" applyProtection="0"/>
    <xf numFmtId="0" fontId="4" fillId="0" borderId="0"/>
    <xf numFmtId="0" fontId="4" fillId="0" borderId="0"/>
    <xf numFmtId="164" fontId="52" fillId="0" borderId="0" applyFont="0" applyFill="0" applyBorder="0" applyAlignment="0" applyProtection="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7"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7"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4" fillId="0" borderId="0" applyFont="0" applyFill="0" applyBorder="0" applyAlignment="0" applyProtection="0">
      <alignment vertical="center"/>
    </xf>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7"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7" fillId="0" borderId="0" applyFont="0" applyFill="0" applyBorder="0" applyAlignment="0" applyProtection="0"/>
    <xf numFmtId="0" fontId="4" fillId="0" borderId="0"/>
    <xf numFmtId="0" fontId="4" fillId="0" borderId="0"/>
    <xf numFmtId="164" fontId="52" fillId="0" borderId="0" applyFont="0" applyFill="0" applyBorder="0" applyAlignment="0" applyProtection="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52" fillId="0" borderId="0" applyFont="0" applyFill="0" applyBorder="0" applyAlignment="0" applyProtection="0"/>
    <xf numFmtId="0" fontId="4" fillId="0" borderId="0"/>
    <xf numFmtId="164" fontId="4" fillId="0" borderId="0" applyFont="0" applyFill="0" applyBorder="0" applyAlignment="0" applyProtection="0"/>
    <xf numFmtId="164" fontId="4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7"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3"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52" fillId="0" borderId="0" applyFont="0" applyFill="0" applyBorder="0" applyAlignment="0" applyProtection="0"/>
    <xf numFmtId="164" fontId="4" fillId="0" borderId="0" applyFont="0" applyFill="0" applyBorder="0" applyAlignment="0" applyProtection="0"/>
    <xf numFmtId="164" fontId="43" fillId="0" borderId="0" applyFont="0" applyFill="0" applyBorder="0" applyAlignment="0" applyProtection="0"/>
    <xf numFmtId="164" fontId="52" fillId="0" borderId="0" applyFont="0" applyFill="0" applyBorder="0" applyAlignment="0" applyProtection="0"/>
    <xf numFmtId="164" fontId="43"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167" fontId="4" fillId="0" borderId="0" applyFont="0" applyFill="0" applyBorder="0" applyAlignment="0" applyProtection="0">
      <alignment vertical="center"/>
    </xf>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7" fillId="0" borderId="0"/>
    <xf numFmtId="0" fontId="107" fillId="0" borderId="0"/>
    <xf numFmtId="0" fontId="78" fillId="0" borderId="0"/>
    <xf numFmtId="0" fontId="109" fillId="0" borderId="0"/>
    <xf numFmtId="164" fontId="43" fillId="0" borderId="0" applyFont="0" applyFill="0" applyBorder="0" applyAlignment="0" applyProtection="0"/>
    <xf numFmtId="0" fontId="43" fillId="0" borderId="0"/>
    <xf numFmtId="43" fontId="109" fillId="0" borderId="0" applyFont="0" applyFill="0" applyBorder="0" applyAlignment="0" applyProtection="0"/>
    <xf numFmtId="43" fontId="4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64" fillId="22" borderId="17" applyNumberFormat="0" applyAlignment="0" applyProtection="0"/>
    <xf numFmtId="0" fontId="71" fillId="9" borderId="17" applyNumberFormat="0" applyAlignment="0" applyProtection="0"/>
    <xf numFmtId="0" fontId="43" fillId="25" borderId="18" applyNumberFormat="0" applyFont="0" applyAlignment="0" applyProtection="0"/>
    <xf numFmtId="0" fontId="74" fillId="22" borderId="19" applyNumberFormat="0" applyAlignment="0" applyProtection="0"/>
    <xf numFmtId="0" fontId="76" fillId="0" borderId="20" applyNumberFormat="0" applyFill="0" applyAlignment="0" applyProtection="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2" fillId="0" borderId="0" applyNumberFormat="0" applyFill="0" applyBorder="0" applyProtection="0"/>
    <xf numFmtId="164" fontId="3" fillId="0" borderId="0" applyFont="0" applyFill="0" applyBorder="0" applyAlignment="0" applyProtection="0"/>
    <xf numFmtId="43" fontId="3" fillId="0" borderId="0" applyFont="0" applyFill="0" applyBorder="0" applyAlignment="0" applyProtection="0"/>
    <xf numFmtId="177"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98" fillId="0" borderId="21">
      <alignment horizontal="lef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7"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7"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7"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167" fontId="3" fillId="0" borderId="0" applyFont="0" applyFill="0" applyBorder="0" applyAlignment="0" applyProtection="0">
      <alignment vertical="center"/>
    </xf>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41"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110" fillId="0" borderId="0"/>
    <xf numFmtId="0" fontId="1" fillId="0" borderId="0"/>
    <xf numFmtId="164" fontId="1" fillId="0" borderId="0" applyFont="0" applyFill="0" applyBorder="0" applyAlignment="0" applyProtection="0"/>
  </cellStyleXfs>
  <cellXfs count="144">
    <xf numFmtId="0" fontId="0" fillId="0" borderId="0" xfId="0" applyAlignment="1"/>
    <xf numFmtId="167" fontId="80" fillId="2" borderId="14" xfId="70" applyFont="1" applyFill="1" applyBorder="1" applyAlignment="1">
      <alignment horizontal="center" vertical="center" wrapText="1"/>
    </xf>
    <xf numFmtId="172" fontId="103" fillId="0" borderId="0" xfId="3" applyNumberFormat="1" applyFont="1" applyBorder="1" applyAlignment="1" applyProtection="1">
      <alignment horizontal="center" vertical="center"/>
    </xf>
    <xf numFmtId="172" fontId="101" fillId="0" borderId="0" xfId="3" applyNumberFormat="1" applyFont="1" applyBorder="1" applyAlignment="1" applyProtection="1">
      <alignment horizontal="center" vertical="center" wrapText="1"/>
      <protection locked="0"/>
    </xf>
    <xf numFmtId="172" fontId="101" fillId="0" borderId="0" xfId="3" applyNumberFormat="1" applyFont="1" applyBorder="1" applyAlignment="1" applyProtection="1">
      <alignment vertical="center"/>
    </xf>
    <xf numFmtId="0" fontId="101" fillId="0" borderId="0" xfId="0" applyFont="1">
      <alignment vertical="center"/>
    </xf>
    <xf numFmtId="172" fontId="82" fillId="0" borderId="1" xfId="3" applyNumberFormat="1" applyFont="1" applyBorder="1" applyAlignment="1" applyProtection="1">
      <alignment horizontal="center" vertical="center" wrapText="1"/>
      <protection locked="0"/>
    </xf>
    <xf numFmtId="172" fontId="104" fillId="0" borderId="0" xfId="3" applyNumberFormat="1" applyFont="1" applyBorder="1" applyAlignment="1" applyProtection="1">
      <alignment vertical="center"/>
    </xf>
    <xf numFmtId="0" fontId="101" fillId="2" borderId="1" xfId="472" applyFont="1" applyFill="1" applyBorder="1" applyAlignment="1">
      <alignment horizontal="center" vertical="center"/>
    </xf>
    <xf numFmtId="0" fontId="101" fillId="2" borderId="1" xfId="15" applyNumberFormat="1" applyFont="1" applyFill="1" applyBorder="1" applyAlignment="1" applyProtection="1">
      <alignment horizontal="center" vertical="center"/>
    </xf>
    <xf numFmtId="0" fontId="101" fillId="0" borderId="14" xfId="3449" applyFont="1" applyBorder="1" applyAlignment="1">
      <alignment horizontal="center" vertical="center" wrapText="1"/>
    </xf>
    <xf numFmtId="172" fontId="104" fillId="0" borderId="0" xfId="15" applyNumberFormat="1" applyFont="1" applyBorder="1" applyAlignment="1" applyProtection="1">
      <alignment vertical="center"/>
    </xf>
    <xf numFmtId="172" fontId="82" fillId="0" borderId="14" xfId="15" applyNumberFormat="1" applyFont="1" applyBorder="1" applyAlignment="1" applyProtection="1">
      <alignment horizontal="center" vertical="center" wrapText="1"/>
      <protection locked="0"/>
    </xf>
    <xf numFmtId="0" fontId="101" fillId="0" borderId="14" xfId="15" applyNumberFormat="1" applyFont="1" applyBorder="1" applyAlignment="1" applyProtection="1">
      <alignment horizontal="center" vertical="center"/>
    </xf>
    <xf numFmtId="173" fontId="101" fillId="0" borderId="0" xfId="3" applyNumberFormat="1" applyFont="1" applyBorder="1" applyAlignment="1" applyProtection="1">
      <alignment horizontal="center" vertical="center"/>
    </xf>
    <xf numFmtId="0" fontId="101" fillId="0" borderId="14" xfId="15" applyNumberFormat="1" applyFont="1" applyFill="1" applyBorder="1" applyAlignment="1" applyProtection="1">
      <alignment horizontal="center" vertical="center"/>
    </xf>
    <xf numFmtId="172" fontId="82" fillId="0" borderId="15" xfId="15" applyNumberFormat="1" applyFont="1" applyBorder="1" applyAlignment="1" applyProtection="1">
      <alignment horizontal="center" vertical="center" wrapText="1"/>
      <protection locked="0"/>
    </xf>
    <xf numFmtId="1" fontId="101" fillId="0" borderId="14" xfId="0" applyNumberFormat="1" applyFont="1" applyBorder="1" applyAlignment="1">
      <alignment horizontal="center" vertical="center" wrapText="1"/>
    </xf>
    <xf numFmtId="175" fontId="101" fillId="2" borderId="14" xfId="70" applyNumberFormat="1" applyFont="1" applyFill="1" applyBorder="1" applyAlignment="1" applyProtection="1">
      <alignment horizontal="center" wrapText="1"/>
      <protection locked="0"/>
    </xf>
    <xf numFmtId="0" fontId="101" fillId="2" borderId="14" xfId="0" applyFont="1" applyFill="1" applyBorder="1" applyAlignment="1">
      <alignment horizontal="center" vertical="center" wrapText="1"/>
    </xf>
    <xf numFmtId="0" fontId="101" fillId="0" borderId="0" xfId="0" applyFont="1" applyAlignment="1"/>
    <xf numFmtId="0" fontId="101" fillId="2" borderId="0" xfId="0" applyFont="1" applyFill="1" applyAlignment="1">
      <alignment horizontal="center" vertical="center"/>
    </xf>
    <xf numFmtId="0" fontId="101" fillId="2" borderId="0" xfId="0" applyFont="1" applyFill="1" applyAlignment="1" applyProtection="1">
      <alignment wrapText="1"/>
      <protection locked="0"/>
    </xf>
    <xf numFmtId="0" fontId="101" fillId="0" borderId="14" xfId="3" applyNumberFormat="1" applyFont="1" applyBorder="1" applyAlignment="1">
      <alignment horizontal="center" vertical="center" wrapText="1"/>
    </xf>
    <xf numFmtId="0" fontId="101" fillId="0" borderId="14" xfId="0" applyFont="1" applyBorder="1" applyAlignment="1">
      <alignment horizontal="center" vertical="center"/>
    </xf>
    <xf numFmtId="0" fontId="80" fillId="2" borderId="14" xfId="3449" applyFont="1" applyFill="1" applyBorder="1" applyAlignment="1">
      <alignment horizontal="justify" vertical="top"/>
    </xf>
    <xf numFmtId="0" fontId="80" fillId="2" borderId="14" xfId="3449" applyFont="1" applyFill="1" applyBorder="1" applyAlignment="1">
      <alignment horizontal="justify" vertical="top" wrapText="1"/>
    </xf>
    <xf numFmtId="0" fontId="80" fillId="2" borderId="0" xfId="3528" applyNumberFormat="1" applyFont="1" applyFill="1" applyAlignment="1">
      <alignment vertical="top" wrapText="1"/>
    </xf>
    <xf numFmtId="49" fontId="81" fillId="2" borderId="14" xfId="3528" applyNumberFormat="1" applyFont="1" applyFill="1" applyBorder="1" applyAlignment="1">
      <alignment horizontal="left" vertical="top" wrapText="1"/>
    </xf>
    <xf numFmtId="0" fontId="101" fillId="2" borderId="14" xfId="15" applyNumberFormat="1" applyFont="1" applyFill="1" applyBorder="1" applyAlignment="1" applyProtection="1">
      <alignment horizontal="center" vertical="center"/>
    </xf>
    <xf numFmtId="197" fontId="80" fillId="2" borderId="14" xfId="3528" applyNumberFormat="1" applyFont="1" applyFill="1" applyBorder="1" applyAlignment="1">
      <alignment horizontal="center" vertical="center" wrapText="1"/>
    </xf>
    <xf numFmtId="169" fontId="80" fillId="2" borderId="14" xfId="3528" applyNumberFormat="1" applyFont="1" applyFill="1" applyBorder="1" applyAlignment="1">
      <alignment horizontal="center" vertical="center" wrapText="1"/>
    </xf>
    <xf numFmtId="0" fontId="80" fillId="2" borderId="14" xfId="3528" applyFont="1" applyFill="1" applyBorder="1" applyAlignment="1">
      <alignment horizontal="center" vertical="center" wrapText="1"/>
    </xf>
    <xf numFmtId="0" fontId="80" fillId="2" borderId="14" xfId="3528" applyNumberFormat="1" applyFont="1" applyFill="1" applyBorder="1" applyAlignment="1">
      <alignment horizontal="center" vertical="center" wrapText="1"/>
    </xf>
    <xf numFmtId="0" fontId="80" fillId="2" borderId="0" xfId="3528" applyNumberFormat="1" applyFont="1" applyFill="1" applyAlignment="1">
      <alignment horizontal="center" vertical="center" wrapText="1"/>
    </xf>
    <xf numFmtId="169" fontId="80" fillId="2" borderId="0" xfId="3528" applyNumberFormat="1" applyFont="1" applyFill="1" applyAlignment="1">
      <alignment horizontal="center" vertical="center" wrapText="1"/>
    </xf>
    <xf numFmtId="167" fontId="80" fillId="2" borderId="0" xfId="70" applyFont="1" applyFill="1" applyAlignment="1">
      <alignment horizontal="center" vertical="center" wrapText="1"/>
    </xf>
    <xf numFmtId="0" fontId="101" fillId="2" borderId="15" xfId="15" applyNumberFormat="1" applyFont="1" applyFill="1" applyBorder="1" applyAlignment="1" applyProtection="1">
      <alignment horizontal="center" vertical="center"/>
    </xf>
    <xf numFmtId="0" fontId="52" fillId="0" borderId="0" xfId="0" applyFont="1">
      <alignment vertical="center"/>
    </xf>
    <xf numFmtId="0" fontId="101" fillId="0" borderId="0" xfId="3" applyNumberFormat="1" applyFont="1" applyBorder="1" applyAlignment="1" applyProtection="1">
      <alignment vertical="center"/>
    </xf>
    <xf numFmtId="0" fontId="101" fillId="2" borderId="1" xfId="0" applyFont="1" applyFill="1" applyBorder="1" applyAlignment="1">
      <alignment horizontal="center" vertical="center" wrapText="1"/>
    </xf>
    <xf numFmtId="175" fontId="101" fillId="2" borderId="1" xfId="70" applyNumberFormat="1" applyFont="1" applyFill="1" applyBorder="1" applyAlignment="1" applyProtection="1">
      <alignment horizontal="center" wrapText="1"/>
      <protection locked="0"/>
    </xf>
    <xf numFmtId="198" fontId="101" fillId="2" borderId="14" xfId="70" applyNumberFormat="1" applyFont="1" applyFill="1" applyBorder="1" applyAlignment="1" applyProtection="1">
      <alignment horizontal="center" vertical="center" wrapText="1"/>
    </xf>
    <xf numFmtId="198" fontId="101" fillId="2" borderId="14" xfId="70" applyNumberFormat="1" applyFont="1" applyFill="1" applyBorder="1" applyAlignment="1" applyProtection="1">
      <alignment horizontal="center" vertical="center"/>
      <protection locked="0"/>
    </xf>
    <xf numFmtId="198" fontId="101" fillId="2" borderId="1" xfId="70" applyNumberFormat="1" applyFont="1" applyFill="1" applyBorder="1" applyAlignment="1" applyProtection="1">
      <alignment horizontal="center" vertical="center"/>
      <protection locked="0"/>
    </xf>
    <xf numFmtId="198" fontId="101" fillId="2" borderId="1" xfId="70" applyNumberFormat="1" applyFont="1" applyFill="1" applyBorder="1" applyAlignment="1" applyProtection="1">
      <alignment horizontal="center" vertical="center" wrapText="1"/>
    </xf>
    <xf numFmtId="198" fontId="101" fillId="2" borderId="0" xfId="0" applyNumberFormat="1" applyFont="1" applyFill="1" applyAlignment="1" applyProtection="1">
      <alignment horizontal="center" vertical="center"/>
      <protection locked="0"/>
    </xf>
    <xf numFmtId="198" fontId="101" fillId="2" borderId="0" xfId="0" applyNumberFormat="1" applyFont="1" applyFill="1" applyAlignment="1">
      <alignment horizontal="center" vertical="center"/>
    </xf>
    <xf numFmtId="176" fontId="101" fillId="2" borderId="1" xfId="70" applyNumberFormat="1" applyFont="1" applyFill="1" applyBorder="1" applyAlignment="1" applyProtection="1">
      <alignment horizontal="center" vertical="center" wrapText="1"/>
      <protection locked="0"/>
    </xf>
    <xf numFmtId="176" fontId="101" fillId="2" borderId="15" xfId="70" applyNumberFormat="1" applyFont="1" applyFill="1" applyBorder="1" applyAlignment="1" applyProtection="1">
      <alignment horizontal="center" vertical="center" wrapText="1"/>
      <protection locked="0"/>
    </xf>
    <xf numFmtId="176" fontId="101" fillId="2" borderId="14" xfId="70" applyNumberFormat="1" applyFont="1" applyFill="1" applyBorder="1" applyAlignment="1" applyProtection="1">
      <alignment horizontal="center" vertical="center" wrapText="1"/>
      <protection locked="0"/>
    </xf>
    <xf numFmtId="176" fontId="101" fillId="2" borderId="1" xfId="70" applyNumberFormat="1" applyFont="1" applyFill="1" applyBorder="1" applyAlignment="1" applyProtection="1">
      <alignment horizontal="center" vertical="center"/>
    </xf>
    <xf numFmtId="176" fontId="101" fillId="0" borderId="1" xfId="70" applyNumberFormat="1" applyFont="1" applyBorder="1" applyAlignment="1" applyProtection="1">
      <alignment horizontal="center" vertical="center" wrapText="1"/>
    </xf>
    <xf numFmtId="176" fontId="101" fillId="2" borderId="15" xfId="70" applyNumberFormat="1" applyFont="1" applyFill="1" applyBorder="1" applyAlignment="1" applyProtection="1">
      <alignment horizontal="center" vertical="center"/>
    </xf>
    <xf numFmtId="176" fontId="101" fillId="0" borderId="15" xfId="70" applyNumberFormat="1" applyFont="1" applyBorder="1" applyAlignment="1" applyProtection="1">
      <alignment horizontal="center" vertical="center" wrapText="1"/>
    </xf>
    <xf numFmtId="176" fontId="101" fillId="2" borderId="14" xfId="70" applyNumberFormat="1" applyFont="1" applyFill="1" applyBorder="1" applyAlignment="1" applyProtection="1">
      <alignment horizontal="center" vertical="center"/>
    </xf>
    <xf numFmtId="176" fontId="101" fillId="0" borderId="14" xfId="70" applyNumberFormat="1" applyFont="1" applyBorder="1" applyAlignment="1" applyProtection="1">
      <alignment horizontal="center" vertical="center" wrapText="1"/>
    </xf>
    <xf numFmtId="176" fontId="103" fillId="2" borderId="0" xfId="70" applyNumberFormat="1" applyFont="1" applyFill="1" applyBorder="1" applyAlignment="1" applyProtection="1">
      <alignment horizontal="center" vertical="center"/>
      <protection locked="0"/>
    </xf>
    <xf numFmtId="176" fontId="103" fillId="2" borderId="0" xfId="70" applyNumberFormat="1" applyFont="1" applyFill="1" applyBorder="1" applyAlignment="1" applyProtection="1">
      <alignment horizontal="center" vertical="center"/>
    </xf>
    <xf numFmtId="176" fontId="103" fillId="0" borderId="0" xfId="3" applyNumberFormat="1" applyFont="1" applyBorder="1" applyAlignment="1" applyProtection="1">
      <alignment horizontal="center" vertical="center"/>
    </xf>
    <xf numFmtId="0" fontId="102" fillId="0" borderId="0" xfId="0" applyFont="1">
      <alignment vertical="center"/>
    </xf>
    <xf numFmtId="0" fontId="106" fillId="0" borderId="0" xfId="0" applyFont="1">
      <alignment vertical="center"/>
    </xf>
    <xf numFmtId="0" fontId="106" fillId="0" borderId="0" xfId="0" applyFont="1" applyAlignment="1">
      <alignment vertical="center" wrapText="1"/>
    </xf>
    <xf numFmtId="173" fontId="103" fillId="0" borderId="1" xfId="3" applyNumberFormat="1" applyFont="1" applyFill="1" applyBorder="1" applyAlignment="1" applyProtection="1">
      <alignment horizontal="center" vertical="center" wrapText="1"/>
    </xf>
    <xf numFmtId="0" fontId="103" fillId="0" borderId="1" xfId="3" applyNumberFormat="1" applyFont="1" applyFill="1" applyBorder="1" applyAlignment="1" applyProtection="1">
      <alignment horizontal="justify" vertical="center" wrapText="1"/>
    </xf>
    <xf numFmtId="0" fontId="101" fillId="0" borderId="1" xfId="3" applyNumberFormat="1" applyFont="1" applyFill="1" applyBorder="1" applyAlignment="1" applyProtection="1">
      <alignment horizontal="center" vertical="center" wrapText="1"/>
    </xf>
    <xf numFmtId="176" fontId="101" fillId="0" borderId="1" xfId="70" applyNumberFormat="1" applyFont="1" applyFill="1" applyBorder="1" applyAlignment="1" applyProtection="1">
      <alignment horizontal="center" vertical="center" wrapText="1"/>
      <protection locked="0"/>
    </xf>
    <xf numFmtId="0" fontId="80" fillId="2" borderId="1" xfId="3449" applyFont="1" applyFill="1" applyBorder="1" applyAlignment="1">
      <alignment horizontal="justify" vertical="top"/>
    </xf>
    <xf numFmtId="164" fontId="82" fillId="0" borderId="1" xfId="136" applyFont="1" applyFill="1" applyBorder="1" applyAlignment="1" applyProtection="1">
      <alignment vertical="center"/>
    </xf>
    <xf numFmtId="164" fontId="105" fillId="0" borderId="1" xfId="136" applyFont="1" applyFill="1" applyBorder="1" applyAlignment="1" applyProtection="1">
      <alignment horizontal="left"/>
    </xf>
    <xf numFmtId="172" fontId="82" fillId="0" borderId="1" xfId="136" applyNumberFormat="1" applyFont="1" applyFill="1" applyBorder="1" applyAlignment="1" applyProtection="1">
      <alignment horizontal="center" vertical="center"/>
    </xf>
    <xf numFmtId="198" fontId="82" fillId="0" borderId="1" xfId="136" applyNumberFormat="1" applyFont="1" applyFill="1" applyBorder="1" applyAlignment="1" applyProtection="1">
      <alignment horizontal="center" vertical="center"/>
      <protection locked="0"/>
    </xf>
    <xf numFmtId="198" fontId="105" fillId="0" borderId="1" xfId="127" applyNumberFormat="1" applyFont="1" applyFill="1" applyBorder="1" applyAlignment="1" applyProtection="1">
      <alignment horizontal="center" vertical="center"/>
    </xf>
    <xf numFmtId="164" fontId="82" fillId="0" borderId="0" xfId="136" applyFont="1" applyFill="1" applyBorder="1" applyAlignment="1" applyProtection="1">
      <alignment wrapText="1"/>
      <protection locked="0"/>
    </xf>
    <xf numFmtId="0" fontId="1" fillId="2" borderId="0" xfId="12016" applyFill="1" applyAlignment="1">
      <alignment horizontal="center" vertical="center"/>
    </xf>
    <xf numFmtId="0" fontId="1" fillId="0" borderId="0" xfId="12016" applyAlignment="1">
      <alignment horizontal="center" vertical="center"/>
    </xf>
    <xf numFmtId="0" fontId="116" fillId="0" borderId="24" xfId="12016" applyFont="1" applyBorder="1" applyAlignment="1">
      <alignment horizontal="left" vertical="center" wrapText="1"/>
    </xf>
    <xf numFmtId="0" fontId="116" fillId="0" borderId="25" xfId="12016" applyFont="1" applyBorder="1" applyAlignment="1">
      <alignment horizontal="left" vertical="center" wrapText="1"/>
    </xf>
    <xf numFmtId="199" fontId="116" fillId="0" borderId="25" xfId="12017" applyNumberFormat="1" applyFont="1" applyBorder="1" applyAlignment="1">
      <alignment horizontal="left" vertical="center" wrapText="1"/>
    </xf>
    <xf numFmtId="0" fontId="113" fillId="29" borderId="24" xfId="12016" applyFont="1" applyFill="1" applyBorder="1" applyAlignment="1">
      <alignment horizontal="center" vertical="center" wrapText="1"/>
    </xf>
    <xf numFmtId="0" fontId="113" fillId="29" borderId="25" xfId="12016" applyFont="1" applyFill="1" applyBorder="1" applyAlignment="1">
      <alignment horizontal="center" vertical="center" wrapText="1"/>
    </xf>
    <xf numFmtId="0" fontId="114" fillId="0" borderId="24" xfId="12016" applyFont="1" applyBorder="1" applyAlignment="1">
      <alignment horizontal="center" vertical="center"/>
    </xf>
    <xf numFmtId="9" fontId="114" fillId="0" borderId="25" xfId="12016" applyNumberFormat="1" applyFont="1" applyBorder="1" applyAlignment="1">
      <alignment horizontal="center" vertical="center"/>
    </xf>
    <xf numFmtId="0" fontId="112" fillId="30" borderId="24" xfId="12016" applyFont="1" applyFill="1" applyBorder="1" applyAlignment="1">
      <alignment horizontal="center" vertical="center" wrapText="1"/>
    </xf>
    <xf numFmtId="9" fontId="112" fillId="30" borderId="25" xfId="12016" applyNumberFormat="1" applyFont="1" applyFill="1" applyBorder="1" applyAlignment="1">
      <alignment horizontal="center" vertical="center"/>
    </xf>
    <xf numFmtId="0" fontId="115" fillId="0" borderId="29" xfId="12016" applyFont="1" applyBorder="1" applyAlignment="1">
      <alignment horizontal="left" vertical="center" wrapText="1"/>
    </xf>
    <xf numFmtId="0" fontId="113" fillId="0" borderId="24" xfId="12016" applyFont="1" applyBorder="1" applyAlignment="1">
      <alignment horizontal="center" vertical="center" wrapText="1"/>
    </xf>
    <xf numFmtId="0" fontId="111" fillId="0" borderId="24" xfId="12016" applyFont="1" applyBorder="1" applyAlignment="1">
      <alignment horizontal="left" vertical="center" wrapText="1"/>
    </xf>
    <xf numFmtId="0" fontId="113" fillId="0" borderId="1" xfId="12016" applyFont="1" applyBorder="1" applyAlignment="1">
      <alignment horizontal="center" vertical="center" wrapText="1"/>
    </xf>
    <xf numFmtId="0" fontId="113" fillId="31" borderId="1" xfId="12016" applyFont="1" applyFill="1" applyBorder="1" applyAlignment="1">
      <alignment horizontal="center" vertical="center" wrapText="1"/>
    </xf>
    <xf numFmtId="0" fontId="116" fillId="28" borderId="24" xfId="12016" applyFont="1" applyFill="1" applyBorder="1" applyAlignment="1">
      <alignment horizontal="center" vertical="center" wrapText="1"/>
    </xf>
    <xf numFmtId="0" fontId="116" fillId="28" borderId="25" xfId="12016" applyFont="1" applyFill="1" applyBorder="1" applyAlignment="1">
      <alignment horizontal="center" vertical="center" wrapText="1"/>
    </xf>
    <xf numFmtId="0" fontId="116" fillId="28" borderId="1" xfId="12016" applyFont="1" applyFill="1" applyBorder="1" applyAlignment="1">
      <alignment horizontal="center" vertical="center" wrapText="1"/>
    </xf>
    <xf numFmtId="0" fontId="118" fillId="2" borderId="0" xfId="12016" applyFont="1" applyFill="1" applyAlignment="1">
      <alignment horizontal="center" vertical="center" wrapText="1"/>
    </xf>
    <xf numFmtId="0" fontId="120" fillId="2" borderId="0" xfId="12016" applyFont="1" applyFill="1" applyAlignment="1">
      <alignment vertical="center"/>
    </xf>
    <xf numFmtId="199" fontId="121" fillId="2" borderId="0" xfId="12017" applyNumberFormat="1" applyFont="1" applyFill="1" applyAlignment="1">
      <alignment horizontal="center"/>
    </xf>
    <xf numFmtId="0" fontId="120" fillId="2" borderId="0" xfId="12016" applyFont="1" applyFill="1" applyAlignment="1">
      <alignment horizontal="left" vertical="center"/>
    </xf>
    <xf numFmtId="199" fontId="122" fillId="2" borderId="0" xfId="12017" applyNumberFormat="1" applyFont="1" applyFill="1" applyAlignment="1">
      <alignment horizontal="center" vertical="center" wrapText="1"/>
    </xf>
    <xf numFmtId="0" fontId="118" fillId="0" borderId="0" xfId="12016" applyFont="1" applyAlignment="1">
      <alignment horizontal="center" vertical="center" wrapText="1"/>
    </xf>
    <xf numFmtId="199" fontId="122" fillId="0" borderId="0" xfId="12017" applyNumberFormat="1" applyFont="1" applyAlignment="1">
      <alignment horizontal="center" vertical="center" wrapText="1"/>
    </xf>
    <xf numFmtId="0" fontId="119" fillId="2" borderId="23" xfId="12016" applyFont="1" applyFill="1" applyBorder="1" applyAlignment="1">
      <alignment vertical="center" wrapText="1"/>
    </xf>
    <xf numFmtId="0" fontId="119" fillId="2" borderId="28" xfId="12016" applyFont="1" applyFill="1" applyBorder="1" applyAlignment="1">
      <alignment vertical="center" wrapText="1"/>
    </xf>
    <xf numFmtId="0" fontId="116" fillId="0" borderId="31" xfId="12016" applyFont="1" applyBorder="1" applyAlignment="1">
      <alignment horizontal="left" vertical="center" wrapText="1"/>
    </xf>
    <xf numFmtId="0" fontId="116" fillId="28" borderId="1" xfId="12016" applyFont="1" applyFill="1" applyBorder="1" applyAlignment="1">
      <alignment horizontal="left" vertical="center" wrapText="1"/>
    </xf>
    <xf numFmtId="0" fontId="116" fillId="0" borderId="1" xfId="12016" applyFont="1" applyBorder="1" applyAlignment="1">
      <alignment vertical="center" wrapText="1"/>
    </xf>
    <xf numFmtId="169" fontId="116" fillId="0" borderId="1" xfId="12016" applyNumberFormat="1" applyFont="1" applyBorder="1" applyAlignment="1">
      <alignment vertical="center" wrapText="1"/>
    </xf>
    <xf numFmtId="200" fontId="111" fillId="0" borderId="1" xfId="70" applyNumberFormat="1" applyFont="1" applyFill="1" applyBorder="1" applyAlignment="1">
      <alignment vertical="center" wrapText="1"/>
    </xf>
    <xf numFmtId="200" fontId="113" fillId="31" borderId="1" xfId="70" applyNumberFormat="1" applyFont="1" applyFill="1" applyBorder="1" applyAlignment="1">
      <alignment vertical="center" wrapText="1"/>
    </xf>
    <xf numFmtId="200" fontId="118" fillId="2" borderId="0" xfId="12016" applyNumberFormat="1" applyFont="1" applyFill="1" applyAlignment="1">
      <alignment horizontal="center" vertical="center" wrapText="1"/>
    </xf>
    <xf numFmtId="0" fontId="81" fillId="32" borderId="14" xfId="3528" applyNumberFormat="1" applyFont="1" applyFill="1" applyBorder="1" applyAlignment="1">
      <alignment horizontal="center" vertical="center" wrapText="1"/>
    </xf>
    <xf numFmtId="0" fontId="81" fillId="32" borderId="14" xfId="3528" applyNumberFormat="1" applyFont="1" applyFill="1" applyBorder="1" applyAlignment="1">
      <alignment horizontal="right" vertical="top" wrapText="1"/>
    </xf>
    <xf numFmtId="169" fontId="81" fillId="32" borderId="14" xfId="3528" applyNumberFormat="1" applyFont="1" applyFill="1" applyBorder="1" applyAlignment="1">
      <alignment horizontal="center" vertical="center" wrapText="1"/>
    </xf>
    <xf numFmtId="167" fontId="81" fillId="32" borderId="14" xfId="70" applyFont="1" applyFill="1" applyBorder="1" applyAlignment="1">
      <alignment horizontal="center" vertical="center" wrapText="1"/>
    </xf>
    <xf numFmtId="0" fontId="126" fillId="32" borderId="14" xfId="3528" applyNumberFormat="1" applyFont="1" applyFill="1" applyBorder="1" applyAlignment="1">
      <alignment horizontal="center" vertical="center" wrapText="1"/>
    </xf>
    <xf numFmtId="49" fontId="126" fillId="32" borderId="16" xfId="3528" applyNumberFormat="1" applyFont="1" applyFill="1" applyBorder="1" applyAlignment="1">
      <alignment vertical="center" wrapText="1"/>
    </xf>
    <xf numFmtId="172" fontId="127" fillId="32" borderId="14" xfId="119" applyNumberFormat="1" applyFont="1" applyFill="1" applyBorder="1" applyAlignment="1" applyProtection="1">
      <alignment horizontal="center" vertical="center" wrapText="1"/>
      <protection locked="0"/>
    </xf>
    <xf numFmtId="169" fontId="127" fillId="32" borderId="14" xfId="119" applyNumberFormat="1" applyFont="1" applyFill="1" applyBorder="1" applyAlignment="1" applyProtection="1">
      <alignment horizontal="center" vertical="center" wrapText="1"/>
      <protection locked="0"/>
    </xf>
    <xf numFmtId="167" fontId="127" fillId="32" borderId="14" xfId="70" applyFont="1" applyFill="1" applyBorder="1" applyAlignment="1" applyProtection="1">
      <alignment horizontal="center" vertical="center" wrapText="1"/>
      <protection locked="0"/>
    </xf>
    <xf numFmtId="164" fontId="127" fillId="32" borderId="14" xfId="119" applyFont="1" applyFill="1" applyBorder="1" applyAlignment="1" applyProtection="1">
      <alignment horizontal="center" vertical="center" wrapText="1"/>
      <protection locked="0"/>
    </xf>
    <xf numFmtId="172" fontId="127" fillId="32" borderId="14" xfId="119" applyNumberFormat="1" applyFont="1" applyFill="1" applyBorder="1" applyAlignment="1" applyProtection="1">
      <alignment horizontal="center" vertical="center"/>
      <protection locked="0"/>
    </xf>
    <xf numFmtId="1" fontId="103" fillId="0" borderId="14" xfId="0" applyNumberFormat="1" applyFont="1" applyBorder="1" applyAlignment="1">
      <alignment horizontal="center" vertical="center" wrapText="1"/>
    </xf>
    <xf numFmtId="0" fontId="103" fillId="0" borderId="14" xfId="0" applyFont="1" applyBorder="1" applyAlignment="1">
      <alignment horizontal="left" wrapText="1"/>
    </xf>
    <xf numFmtId="0" fontId="101" fillId="0" borderId="14" xfId="0" applyFont="1" applyBorder="1" applyAlignment="1">
      <alignment horizontal="center" vertical="center" wrapText="1"/>
    </xf>
    <xf numFmtId="198" fontId="101" fillId="0" borderId="14" xfId="70" applyNumberFormat="1" applyFont="1" applyFill="1" applyBorder="1" applyAlignment="1" applyProtection="1">
      <alignment horizontal="center" vertical="center"/>
      <protection locked="0"/>
    </xf>
    <xf numFmtId="198" fontId="101" fillId="0" borderId="14" xfId="70" applyNumberFormat="1" applyFont="1" applyFill="1" applyBorder="1" applyAlignment="1" applyProtection="1">
      <alignment horizontal="center" vertical="center" wrapText="1"/>
    </xf>
    <xf numFmtId="0" fontId="80" fillId="2" borderId="1" xfId="3528" applyNumberFormat="1" applyFont="1" applyFill="1" applyBorder="1" applyAlignment="1">
      <alignment horizontal="center" vertical="center" wrapText="1"/>
    </xf>
    <xf numFmtId="0" fontId="101" fillId="0" borderId="1" xfId="0" applyFont="1" applyBorder="1" applyAlignment="1">
      <alignment horizontal="center" vertical="center"/>
    </xf>
    <xf numFmtId="169" fontId="80" fillId="2" borderId="1" xfId="3528" applyNumberFormat="1" applyFont="1" applyFill="1" applyBorder="1" applyAlignment="1">
      <alignment horizontal="center" vertical="center" wrapText="1"/>
    </xf>
    <xf numFmtId="0" fontId="80" fillId="2" borderId="1" xfId="3528" applyFont="1" applyFill="1" applyBorder="1" applyAlignment="1">
      <alignment horizontal="center" vertical="center" wrapText="1"/>
    </xf>
    <xf numFmtId="1" fontId="125" fillId="32" borderId="22" xfId="13" applyNumberFormat="1" applyFont="1" applyFill="1" applyBorder="1" applyAlignment="1" applyProtection="1">
      <alignment horizontal="center" vertical="center"/>
    </xf>
    <xf numFmtId="1" fontId="125" fillId="32" borderId="21" xfId="13" applyNumberFormat="1" applyFont="1" applyFill="1" applyBorder="1" applyAlignment="1" applyProtection="1">
      <alignment horizontal="center" vertical="center"/>
    </xf>
    <xf numFmtId="1" fontId="125" fillId="32" borderId="26" xfId="13" applyNumberFormat="1" applyFont="1" applyFill="1" applyBorder="1" applyAlignment="1" applyProtection="1">
      <alignment horizontal="center" vertical="center"/>
    </xf>
    <xf numFmtId="0" fontId="113" fillId="29" borderId="1" xfId="12016" applyFont="1" applyFill="1" applyBorder="1" applyAlignment="1">
      <alignment horizontal="center" vertical="center" wrapText="1"/>
    </xf>
    <xf numFmtId="0" fontId="120" fillId="2" borderId="0" xfId="12016" applyFont="1" applyFill="1" applyAlignment="1">
      <alignment horizontal="left" vertical="center"/>
    </xf>
    <xf numFmtId="0" fontId="113" fillId="31" borderId="25" xfId="12016" applyFont="1" applyFill="1" applyBorder="1" applyAlignment="1">
      <alignment horizontal="center" vertical="center" wrapText="1"/>
    </xf>
    <xf numFmtId="0" fontId="113" fillId="31" borderId="30" xfId="12016" applyFont="1" applyFill="1" applyBorder="1" applyAlignment="1">
      <alignment horizontal="center" vertical="center" wrapText="1"/>
    </xf>
    <xf numFmtId="172" fontId="114" fillId="2" borderId="1" xfId="12017" applyNumberFormat="1" applyFont="1" applyFill="1" applyBorder="1" applyAlignment="1">
      <alignment horizontal="left" vertical="center" wrapText="1"/>
    </xf>
    <xf numFmtId="172" fontId="114" fillId="2" borderId="1" xfId="12017" applyNumberFormat="1" applyFont="1" applyFill="1" applyBorder="1" applyAlignment="1">
      <alignment horizontal="left" vertical="center"/>
    </xf>
    <xf numFmtId="0" fontId="124" fillId="2" borderId="27" xfId="12016" applyFont="1" applyFill="1" applyBorder="1" applyAlignment="1">
      <alignment horizontal="left" vertical="center" wrapText="1"/>
    </xf>
    <xf numFmtId="0" fontId="124" fillId="2" borderId="27" xfId="12016" applyFont="1" applyFill="1" applyBorder="1" applyAlignment="1">
      <alignment horizontal="right" vertical="center" wrapText="1"/>
    </xf>
    <xf numFmtId="0" fontId="117" fillId="2" borderId="26" xfId="12016" applyFont="1" applyFill="1" applyBorder="1" applyAlignment="1">
      <alignment horizontal="left" vertical="center" wrapText="1"/>
    </xf>
    <xf numFmtId="0" fontId="117" fillId="2" borderId="1" xfId="12016" applyFont="1" applyFill="1" applyBorder="1" applyAlignment="1">
      <alignment horizontal="left" vertical="center" wrapText="1"/>
    </xf>
    <xf numFmtId="0" fontId="123" fillId="0" borderId="1" xfId="12016" applyFont="1" applyBorder="1" applyAlignment="1">
      <alignment horizontal="center" vertical="center" wrapText="1"/>
    </xf>
    <xf numFmtId="199" fontId="122" fillId="0" borderId="1" xfId="12017" applyNumberFormat="1" applyFont="1" applyBorder="1" applyAlignment="1">
      <alignment horizontal="center" vertical="center" wrapText="1"/>
    </xf>
  </cellXfs>
  <cellStyles count="12018">
    <cellStyle name="_06  E - Pricing Schedule BMS-TMS" xfId="3394" xr:uid="{00000000-0005-0000-0000-00000D000000}"/>
    <cellStyle name="??" xfId="3414" xr:uid="{00000000-0005-0000-0000-000000000000}"/>
    <cellStyle name="?? [0.00]_laroux" xfId="3408" xr:uid="{00000000-0005-0000-0000-000001000000}"/>
    <cellStyle name="??_??" xfId="3399" xr:uid="{00000000-0005-0000-0000-000004000000}"/>
    <cellStyle name="???? [0.00]_laroux" xfId="3415" xr:uid="{00000000-0005-0000-0000-000002000000}"/>
    <cellStyle name="????_laroux" xfId="3416" xr:uid="{00000000-0005-0000-0000-000003000000}"/>
    <cellStyle name="?_x0001__x0017_?°_x0001_ÿÿÿ?ÿÿÿ??" xfId="3417" xr:uid="{00000000-0005-0000-0000-000005000000}"/>
    <cellStyle name="?_x0001__x0017_?°_x0001_ÿÿÿ?ÿÿÿ?? 1" xfId="3418" xr:uid="{00000000-0005-0000-0000-000006000000}"/>
    <cellStyle name="?_x0001__x0017_?°_x0001_ÿÿÿ?ÿÿÿ?? 2" xfId="3403" xr:uid="{00000000-0005-0000-0000-000007000000}"/>
    <cellStyle name="?_x0001__x0017_?°_x0001_ÿÿÿ?ÿÿÿ?? 3" xfId="3405" xr:uid="{00000000-0005-0000-0000-000008000000}"/>
    <cellStyle name="?_x0001__x0017_?°_x0001_ÿÿÿ?ÿÿÿ?? 4" xfId="3406" xr:uid="{00000000-0005-0000-0000-000009000000}"/>
    <cellStyle name="?_x0001__x0017_?°_x0001_ÿÿÿ?ÿÿÿ?? 5" xfId="3409" xr:uid="{00000000-0005-0000-0000-00000A000000}"/>
    <cellStyle name="?_x0001__x0017_?°_x0001_ÿÿÿ?ÿÿÿ?? 6" xfId="3412" xr:uid="{00000000-0005-0000-0000-00000B000000}"/>
    <cellStyle name="?_x0001__x0017_?°_x0001_ÿÿÿ?ÿÿÿ??_BOQSummary Vedhas Sir" xfId="3398" xr:uid="{00000000-0005-0000-0000-00000C000000}"/>
    <cellStyle name="•W_Electrical" xfId="3419" xr:uid="{00000000-0005-0000-0000-00000F000000}"/>
    <cellStyle name="•W€_Electrical" xfId="3404" xr:uid="{00000000-0005-0000-0000-00000E000000}"/>
    <cellStyle name="0,0_x000a__x000a_NA_x000a__x000a_" xfId="3420" xr:uid="{00000000-0005-0000-0000-000010000000}"/>
    <cellStyle name="0,0_x000a__x000a_NA_x000a__x000a_ 2" xfId="3421" xr:uid="{00000000-0005-0000-0000-000011000000}"/>
    <cellStyle name="0,0_x000a_NA_x000a_" xfId="3422" xr:uid="{00000000-0005-0000-0000-000012000000}"/>
    <cellStyle name="0,0_x000d__x000a_NA_x000d__x000a_" xfId="1" xr:uid="{00000000-0005-0000-0000-000013000000}"/>
    <cellStyle name="0,0_x000d__x000a_NA_x000d__x000a_ 2" xfId="2" xr:uid="{00000000-0005-0000-0000-000014000000}"/>
    <cellStyle name="20% - Accent1 2" xfId="242" xr:uid="{00000000-0005-0000-0000-000015000000}"/>
    <cellStyle name="20% - Accent2 2" xfId="243" xr:uid="{00000000-0005-0000-0000-000016000000}"/>
    <cellStyle name="20% - Accent3 2" xfId="244" xr:uid="{00000000-0005-0000-0000-000017000000}"/>
    <cellStyle name="20% - Accent4 2" xfId="245" xr:uid="{00000000-0005-0000-0000-000018000000}"/>
    <cellStyle name="20% - Accent5 2" xfId="246" xr:uid="{00000000-0005-0000-0000-000019000000}"/>
    <cellStyle name="20% - Accent6 2" xfId="247" xr:uid="{00000000-0005-0000-0000-00001A000000}"/>
    <cellStyle name="40% - Accent1 2" xfId="248" xr:uid="{00000000-0005-0000-0000-00001B000000}"/>
    <cellStyle name="40% - Accent2 2" xfId="249" xr:uid="{00000000-0005-0000-0000-00001C000000}"/>
    <cellStyle name="40% - Accent3 2" xfId="250" xr:uid="{00000000-0005-0000-0000-00001D000000}"/>
    <cellStyle name="40% - Accent4 2" xfId="251" xr:uid="{00000000-0005-0000-0000-00001E000000}"/>
    <cellStyle name="40% - Accent5 2" xfId="252" xr:uid="{00000000-0005-0000-0000-00001F000000}"/>
    <cellStyle name="40% - Accent6 2" xfId="253" xr:uid="{00000000-0005-0000-0000-000020000000}"/>
    <cellStyle name="60% - Accent1 2" xfId="254" xr:uid="{00000000-0005-0000-0000-000021000000}"/>
    <cellStyle name="60% - Accent2 2" xfId="255" xr:uid="{00000000-0005-0000-0000-000022000000}"/>
    <cellStyle name="60% - Accent3 2" xfId="256" xr:uid="{00000000-0005-0000-0000-000023000000}"/>
    <cellStyle name="60% - Accent4 2" xfId="257" xr:uid="{00000000-0005-0000-0000-000024000000}"/>
    <cellStyle name="60% - Accent5 2" xfId="258" xr:uid="{00000000-0005-0000-0000-000025000000}"/>
    <cellStyle name="60% - Accent6 2" xfId="259" xr:uid="{00000000-0005-0000-0000-000026000000}"/>
    <cellStyle name="Accent1 2" xfId="260" xr:uid="{00000000-0005-0000-0000-000027000000}"/>
    <cellStyle name="Accent2 2" xfId="261" xr:uid="{00000000-0005-0000-0000-000028000000}"/>
    <cellStyle name="Accent3 2" xfId="262" xr:uid="{00000000-0005-0000-0000-000029000000}"/>
    <cellStyle name="Accent4 2" xfId="263" xr:uid="{00000000-0005-0000-0000-00002A000000}"/>
    <cellStyle name="Accent5 2" xfId="264" xr:uid="{00000000-0005-0000-0000-00002B000000}"/>
    <cellStyle name="Accent6 2" xfId="265" xr:uid="{00000000-0005-0000-0000-00002C000000}"/>
    <cellStyle name="Alex's" xfId="3423" xr:uid="{00000000-0005-0000-0000-00002D000000}"/>
    <cellStyle name="Bad 2" xfId="266" xr:uid="{00000000-0005-0000-0000-00002E000000}"/>
    <cellStyle name="Calc Currency (0)" xfId="3425" xr:uid="{00000000-0005-0000-0000-00002F000000}"/>
    <cellStyle name="Calc Currency (2)" xfId="3426" xr:uid="{00000000-0005-0000-0000-000030000000}"/>
    <cellStyle name="Calc Percent (0)" xfId="3427" xr:uid="{00000000-0005-0000-0000-000031000000}"/>
    <cellStyle name="Calc Percent (1)" xfId="3428" xr:uid="{00000000-0005-0000-0000-000032000000}"/>
    <cellStyle name="Calc Percent (2)" xfId="3429" xr:uid="{00000000-0005-0000-0000-000033000000}"/>
    <cellStyle name="Calc Units (0)" xfId="3430" xr:uid="{00000000-0005-0000-0000-000034000000}"/>
    <cellStyle name="Calc Units (1)" xfId="3431" xr:uid="{00000000-0005-0000-0000-000035000000}"/>
    <cellStyle name="Calc Units (2)" xfId="3432" xr:uid="{00000000-0005-0000-0000-000036000000}"/>
    <cellStyle name="Calculation 2" xfId="267" xr:uid="{00000000-0005-0000-0000-000037000000}"/>
    <cellStyle name="Calculation 2 2" xfId="6773" xr:uid="{00000000-0005-0000-0000-000038000000}"/>
    <cellStyle name="Check Cell 2" xfId="268" xr:uid="{00000000-0005-0000-0000-000039000000}"/>
    <cellStyle name="Comma" xfId="70" builtinId="3"/>
    <cellStyle name="Comma [0] 2" xfId="12011" xr:uid="{55651024-B92A-4232-913D-FC5D385EF611}"/>
    <cellStyle name="Comma [00]" xfId="3433" xr:uid="{00000000-0005-0000-0000-00003B000000}"/>
    <cellStyle name="Comma 10" xfId="3" xr:uid="{00000000-0005-0000-0000-00003C000000}"/>
    <cellStyle name="Comma 10 2" xfId="119" xr:uid="{00000000-0005-0000-0000-00003D000000}"/>
    <cellStyle name="Comma 10 2 2" xfId="325" xr:uid="{00000000-0005-0000-0000-00003E000000}"/>
    <cellStyle name="Comma 10 2 2 2" xfId="648" xr:uid="{00000000-0005-0000-0000-00003F000000}"/>
    <cellStyle name="Comma 10 2 2 2 2" xfId="1335" xr:uid="{00000000-0005-0000-0000-000040000000}"/>
    <cellStyle name="Comma 10 2 2 2 2 2" xfId="4727" xr:uid="{00000000-0005-0000-0000-000041000000}"/>
    <cellStyle name="Comma 10 2 2 2 3" xfId="4042" xr:uid="{00000000-0005-0000-0000-000042000000}"/>
    <cellStyle name="Comma 10 2 2 3" xfId="1013" xr:uid="{00000000-0005-0000-0000-000043000000}"/>
    <cellStyle name="Comma 10 2 2 3 2" xfId="4405" xr:uid="{00000000-0005-0000-0000-000044000000}"/>
    <cellStyle name="Comma 10 2 2 4" xfId="3720" xr:uid="{00000000-0005-0000-0000-000045000000}"/>
    <cellStyle name="Comma 10 2 3" xfId="823" xr:uid="{00000000-0005-0000-0000-000046000000}"/>
    <cellStyle name="Comma 10 2 3 2" xfId="1509" xr:uid="{00000000-0005-0000-0000-000047000000}"/>
    <cellStyle name="Comma 10 2 3 2 2" xfId="4901" xr:uid="{00000000-0005-0000-0000-000048000000}"/>
    <cellStyle name="Comma 10 2 3 3" xfId="4216" xr:uid="{00000000-0005-0000-0000-000049000000}"/>
    <cellStyle name="Comma 10 2 4" xfId="500" xr:uid="{00000000-0005-0000-0000-00004A000000}"/>
    <cellStyle name="Comma 10 2 4 2" xfId="1187" xr:uid="{00000000-0005-0000-0000-00004B000000}"/>
    <cellStyle name="Comma 10 2 4 2 2" xfId="4579" xr:uid="{00000000-0005-0000-0000-00004C000000}"/>
    <cellStyle name="Comma 10 2 4 3" xfId="3894" xr:uid="{00000000-0005-0000-0000-00004D000000}"/>
    <cellStyle name="Comma 10 2 5" xfId="865" xr:uid="{00000000-0005-0000-0000-00004E000000}"/>
    <cellStyle name="Comma 10 2 5 2" xfId="4257" xr:uid="{00000000-0005-0000-0000-00004F000000}"/>
    <cellStyle name="Comma 10 2 6" xfId="3437" xr:uid="{00000000-0005-0000-0000-000050000000}"/>
    <cellStyle name="Comma 10 2 7" xfId="3572" xr:uid="{00000000-0005-0000-0000-000051000000}"/>
    <cellStyle name="Comma 10 2 8" xfId="6700" xr:uid="{00000000-0005-0000-0000-000052000000}"/>
    <cellStyle name="Comma 10 3" xfId="118" xr:uid="{00000000-0005-0000-0000-000053000000}"/>
    <cellStyle name="Comma 10 3 2" xfId="324" xr:uid="{00000000-0005-0000-0000-000054000000}"/>
    <cellStyle name="Comma 10 3 2 2" xfId="647" xr:uid="{00000000-0005-0000-0000-000055000000}"/>
    <cellStyle name="Comma 10 3 2 2 2" xfId="1334" xr:uid="{00000000-0005-0000-0000-000056000000}"/>
    <cellStyle name="Comma 10 3 2 2 2 2" xfId="4726" xr:uid="{00000000-0005-0000-0000-000057000000}"/>
    <cellStyle name="Comma 10 3 2 2 3" xfId="4041" xr:uid="{00000000-0005-0000-0000-000058000000}"/>
    <cellStyle name="Comma 10 3 2 3" xfId="1012" xr:uid="{00000000-0005-0000-0000-000059000000}"/>
    <cellStyle name="Comma 10 3 2 3 2" xfId="4404" xr:uid="{00000000-0005-0000-0000-00005A000000}"/>
    <cellStyle name="Comma 10 3 2 4" xfId="3719" xr:uid="{00000000-0005-0000-0000-00005B000000}"/>
    <cellStyle name="Comma 10 3 3" xfId="499" xr:uid="{00000000-0005-0000-0000-00005C000000}"/>
    <cellStyle name="Comma 10 3 3 2" xfId="1186" xr:uid="{00000000-0005-0000-0000-00005D000000}"/>
    <cellStyle name="Comma 10 3 3 2 2" xfId="4578" xr:uid="{00000000-0005-0000-0000-00005E000000}"/>
    <cellStyle name="Comma 10 3 3 3" xfId="3893" xr:uid="{00000000-0005-0000-0000-00005F000000}"/>
    <cellStyle name="Comma 10 3 4" xfId="864" xr:uid="{00000000-0005-0000-0000-000060000000}"/>
    <cellStyle name="Comma 10 3 4 2" xfId="4256" xr:uid="{00000000-0005-0000-0000-000061000000}"/>
    <cellStyle name="Comma 10 3 5" xfId="3571" xr:uid="{00000000-0005-0000-0000-000062000000}"/>
    <cellStyle name="Comma 10 4" xfId="188" xr:uid="{00000000-0005-0000-0000-000063000000}"/>
    <cellStyle name="Comma 10 4 2" xfId="1598" xr:uid="{00000000-0005-0000-0000-000064000000}"/>
    <cellStyle name="Comma 10 4 3" xfId="2520" xr:uid="{00000000-0005-0000-0000-000065000000}"/>
    <cellStyle name="Comma 10 5" xfId="80" xr:uid="{00000000-0005-0000-0000-000066000000}"/>
    <cellStyle name="Comma 10 5 2" xfId="1553" xr:uid="{00000000-0005-0000-0000-000067000000}"/>
    <cellStyle name="Comma 10 5 3" xfId="2475" xr:uid="{00000000-0005-0000-0000-000068000000}"/>
    <cellStyle name="Comma 10 6" xfId="3436" xr:uid="{00000000-0005-0000-0000-000069000000}"/>
    <cellStyle name="Comma 10 6 2" xfId="9353" xr:uid="{00000000-0005-0000-0000-00006A000000}"/>
    <cellStyle name="Comma 11" xfId="4" xr:uid="{00000000-0005-0000-0000-00006B000000}"/>
    <cellStyle name="Comma 11 2" xfId="81" xr:uid="{00000000-0005-0000-0000-00006C000000}"/>
    <cellStyle name="Comma 11 2 2" xfId="1554" xr:uid="{00000000-0005-0000-0000-00006D000000}"/>
    <cellStyle name="Comma 11 2 3" xfId="2476" xr:uid="{00000000-0005-0000-0000-00006E000000}"/>
    <cellStyle name="Comma 11 3" xfId="199" xr:uid="{00000000-0005-0000-0000-00006F000000}"/>
    <cellStyle name="Comma 11 3 2" xfId="1608" xr:uid="{00000000-0005-0000-0000-000070000000}"/>
    <cellStyle name="Comma 11 3 3" xfId="2529" xr:uid="{00000000-0005-0000-0000-000071000000}"/>
    <cellStyle name="Comma 11 4" xfId="1538" xr:uid="{00000000-0005-0000-0000-000072000000}"/>
    <cellStyle name="Comma 11 5" xfId="2460" xr:uid="{00000000-0005-0000-0000-000073000000}"/>
    <cellStyle name="Comma 11 6" xfId="3440" xr:uid="{00000000-0005-0000-0000-000074000000}"/>
    <cellStyle name="Comma 11 6 2" xfId="9354" xr:uid="{00000000-0005-0000-0000-000075000000}"/>
    <cellStyle name="Comma 11 8" xfId="807" xr:uid="{00000000-0005-0000-0000-000076000000}"/>
    <cellStyle name="Comma 11 8 2" xfId="1493" xr:uid="{00000000-0005-0000-0000-000077000000}"/>
    <cellStyle name="Comma 11 8 2 2" xfId="4885" xr:uid="{00000000-0005-0000-0000-000078000000}"/>
    <cellStyle name="Comma 11 8 3" xfId="4200" xr:uid="{00000000-0005-0000-0000-000079000000}"/>
    <cellStyle name="Comma 12" xfId="5" xr:uid="{00000000-0005-0000-0000-00007A000000}"/>
    <cellStyle name="Comma 12 2" xfId="121" xr:uid="{00000000-0005-0000-0000-00007B000000}"/>
    <cellStyle name="Comma 12 2 2" xfId="327" xr:uid="{00000000-0005-0000-0000-00007C000000}"/>
    <cellStyle name="Comma 12 2 2 2" xfId="650" xr:uid="{00000000-0005-0000-0000-00007D000000}"/>
    <cellStyle name="Comma 12 2 2 2 2" xfId="1337" xr:uid="{00000000-0005-0000-0000-00007E000000}"/>
    <cellStyle name="Comma 12 2 2 2 2 2" xfId="4729" xr:uid="{00000000-0005-0000-0000-00007F000000}"/>
    <cellStyle name="Comma 12 2 2 2 3" xfId="4044" xr:uid="{00000000-0005-0000-0000-000080000000}"/>
    <cellStyle name="Comma 12 2 2 3" xfId="1015" xr:uid="{00000000-0005-0000-0000-000081000000}"/>
    <cellStyle name="Comma 12 2 2 3 2" xfId="4407" xr:uid="{00000000-0005-0000-0000-000082000000}"/>
    <cellStyle name="Comma 12 2 2 4" xfId="3722" xr:uid="{00000000-0005-0000-0000-000083000000}"/>
    <cellStyle name="Comma 12 2 3" xfId="502" xr:uid="{00000000-0005-0000-0000-000084000000}"/>
    <cellStyle name="Comma 12 2 3 2" xfId="1189" xr:uid="{00000000-0005-0000-0000-000085000000}"/>
    <cellStyle name="Comma 12 2 3 2 2" xfId="4581" xr:uid="{00000000-0005-0000-0000-000086000000}"/>
    <cellStyle name="Comma 12 2 3 3" xfId="3896" xr:uid="{00000000-0005-0000-0000-000087000000}"/>
    <cellStyle name="Comma 12 2 4" xfId="867" xr:uid="{00000000-0005-0000-0000-000088000000}"/>
    <cellStyle name="Comma 12 2 4 2" xfId="4259" xr:uid="{00000000-0005-0000-0000-000089000000}"/>
    <cellStyle name="Comma 12 2 5" xfId="3574" xr:uid="{00000000-0005-0000-0000-00008A000000}"/>
    <cellStyle name="Comma 12 3" xfId="120" xr:uid="{00000000-0005-0000-0000-00008B000000}"/>
    <cellStyle name="Comma 12 3 2" xfId="326" xr:uid="{00000000-0005-0000-0000-00008C000000}"/>
    <cellStyle name="Comma 12 3 2 2" xfId="649" xr:uid="{00000000-0005-0000-0000-00008D000000}"/>
    <cellStyle name="Comma 12 3 2 2 2" xfId="1336" xr:uid="{00000000-0005-0000-0000-00008E000000}"/>
    <cellStyle name="Comma 12 3 2 2 2 2" xfId="4728" xr:uid="{00000000-0005-0000-0000-00008F000000}"/>
    <cellStyle name="Comma 12 3 2 2 3" xfId="4043" xr:uid="{00000000-0005-0000-0000-000090000000}"/>
    <cellStyle name="Comma 12 3 2 3" xfId="1014" xr:uid="{00000000-0005-0000-0000-000091000000}"/>
    <cellStyle name="Comma 12 3 2 3 2" xfId="4406" xr:uid="{00000000-0005-0000-0000-000092000000}"/>
    <cellStyle name="Comma 12 3 2 4" xfId="3721" xr:uid="{00000000-0005-0000-0000-000093000000}"/>
    <cellStyle name="Comma 12 3 3" xfId="501" xr:uid="{00000000-0005-0000-0000-000094000000}"/>
    <cellStyle name="Comma 12 3 3 2" xfId="1188" xr:uid="{00000000-0005-0000-0000-000095000000}"/>
    <cellStyle name="Comma 12 3 3 2 2" xfId="4580" xr:uid="{00000000-0005-0000-0000-000096000000}"/>
    <cellStyle name="Comma 12 3 3 3" xfId="3895" xr:uid="{00000000-0005-0000-0000-000097000000}"/>
    <cellStyle name="Comma 12 3 4" xfId="866" xr:uid="{00000000-0005-0000-0000-000098000000}"/>
    <cellStyle name="Comma 12 3 4 2" xfId="4258" xr:uid="{00000000-0005-0000-0000-000099000000}"/>
    <cellStyle name="Comma 12 3 5" xfId="3573" xr:uid="{00000000-0005-0000-0000-00009A000000}"/>
    <cellStyle name="Comma 12 4" xfId="82" xr:uid="{00000000-0005-0000-0000-00009B000000}"/>
    <cellStyle name="Comma 12 4 2" xfId="1555" xr:uid="{00000000-0005-0000-0000-00009C000000}"/>
    <cellStyle name="Comma 12 4 3" xfId="2477" xr:uid="{00000000-0005-0000-0000-00009D000000}"/>
    <cellStyle name="Comma 12 5" xfId="3441" xr:uid="{00000000-0005-0000-0000-00009E000000}"/>
    <cellStyle name="Comma 12 6" xfId="6703" xr:uid="{00000000-0005-0000-0000-00009F000000}"/>
    <cellStyle name="Comma 13" xfId="122" xr:uid="{00000000-0005-0000-0000-0000A0000000}"/>
    <cellStyle name="Comma 13 2" xfId="123" xr:uid="{00000000-0005-0000-0000-0000A1000000}"/>
    <cellStyle name="Comma 13 2 2" xfId="329" xr:uid="{00000000-0005-0000-0000-0000A2000000}"/>
    <cellStyle name="Comma 13 2 2 2" xfId="652" xr:uid="{00000000-0005-0000-0000-0000A3000000}"/>
    <cellStyle name="Comma 13 2 2 2 2" xfId="1339" xr:uid="{00000000-0005-0000-0000-0000A4000000}"/>
    <cellStyle name="Comma 13 2 2 2 2 2" xfId="4731" xr:uid="{00000000-0005-0000-0000-0000A5000000}"/>
    <cellStyle name="Comma 13 2 2 2 3" xfId="4046" xr:uid="{00000000-0005-0000-0000-0000A6000000}"/>
    <cellStyle name="Comma 13 2 2 3" xfId="1017" xr:uid="{00000000-0005-0000-0000-0000A7000000}"/>
    <cellStyle name="Comma 13 2 2 3 2" xfId="4409" xr:uid="{00000000-0005-0000-0000-0000A8000000}"/>
    <cellStyle name="Comma 13 2 2 4" xfId="3724" xr:uid="{00000000-0005-0000-0000-0000A9000000}"/>
    <cellStyle name="Comma 13 2 3" xfId="504" xr:uid="{00000000-0005-0000-0000-0000AA000000}"/>
    <cellStyle name="Comma 13 2 3 2" xfId="1191" xr:uid="{00000000-0005-0000-0000-0000AB000000}"/>
    <cellStyle name="Comma 13 2 3 2 2" xfId="4583" xr:uid="{00000000-0005-0000-0000-0000AC000000}"/>
    <cellStyle name="Comma 13 2 3 3" xfId="3898" xr:uid="{00000000-0005-0000-0000-0000AD000000}"/>
    <cellStyle name="Comma 13 2 4" xfId="869" xr:uid="{00000000-0005-0000-0000-0000AE000000}"/>
    <cellStyle name="Comma 13 2 4 2" xfId="4261" xr:uid="{00000000-0005-0000-0000-0000AF000000}"/>
    <cellStyle name="Comma 13 2 5" xfId="3576" xr:uid="{00000000-0005-0000-0000-0000B0000000}"/>
    <cellStyle name="Comma 13 3" xfId="287" xr:uid="{00000000-0005-0000-0000-0000B1000000}"/>
    <cellStyle name="Comma 13 3 2" xfId="437" xr:uid="{00000000-0005-0000-0000-0000B2000000}"/>
    <cellStyle name="Comma 13 3 2 2" xfId="760" xr:uid="{00000000-0005-0000-0000-0000B3000000}"/>
    <cellStyle name="Comma 13 3 2 2 2" xfId="1447" xr:uid="{00000000-0005-0000-0000-0000B4000000}"/>
    <cellStyle name="Comma 13 3 2 2 2 2" xfId="4839" xr:uid="{00000000-0005-0000-0000-0000B5000000}"/>
    <cellStyle name="Comma 13 3 2 2 3" xfId="4154" xr:uid="{00000000-0005-0000-0000-0000B6000000}"/>
    <cellStyle name="Comma 13 3 2 3" xfId="1125" xr:uid="{00000000-0005-0000-0000-0000B7000000}"/>
    <cellStyle name="Comma 13 3 2 3 2" xfId="4517" xr:uid="{00000000-0005-0000-0000-0000B8000000}"/>
    <cellStyle name="Comma 13 3 2 4" xfId="3832" xr:uid="{00000000-0005-0000-0000-0000B9000000}"/>
    <cellStyle name="Comma 13 3 3" xfId="611" xr:uid="{00000000-0005-0000-0000-0000BA000000}"/>
    <cellStyle name="Comma 13 3 3 2" xfId="1298" xr:uid="{00000000-0005-0000-0000-0000BB000000}"/>
    <cellStyle name="Comma 13 3 3 2 2" xfId="4690" xr:uid="{00000000-0005-0000-0000-0000BC000000}"/>
    <cellStyle name="Comma 13 3 3 3" xfId="4005" xr:uid="{00000000-0005-0000-0000-0000BD000000}"/>
    <cellStyle name="Comma 13 3 4" xfId="976" xr:uid="{00000000-0005-0000-0000-0000BE000000}"/>
    <cellStyle name="Comma 13 3 4 2" xfId="4368" xr:uid="{00000000-0005-0000-0000-0000BF000000}"/>
    <cellStyle name="Comma 13 3 5" xfId="3683" xr:uid="{00000000-0005-0000-0000-0000C0000000}"/>
    <cellStyle name="Comma 13 4" xfId="290" xr:uid="{00000000-0005-0000-0000-0000C1000000}"/>
    <cellStyle name="Comma 13 4 2" xfId="440" xr:uid="{00000000-0005-0000-0000-0000C2000000}"/>
    <cellStyle name="Comma 13 4 2 2" xfId="763" xr:uid="{00000000-0005-0000-0000-0000C3000000}"/>
    <cellStyle name="Comma 13 4 2 2 2" xfId="1450" xr:uid="{00000000-0005-0000-0000-0000C4000000}"/>
    <cellStyle name="Comma 13 4 2 2 2 2" xfId="4842" xr:uid="{00000000-0005-0000-0000-0000C5000000}"/>
    <cellStyle name="Comma 13 4 2 2 3" xfId="4157" xr:uid="{00000000-0005-0000-0000-0000C6000000}"/>
    <cellStyle name="Comma 13 4 2 3" xfId="1128" xr:uid="{00000000-0005-0000-0000-0000C7000000}"/>
    <cellStyle name="Comma 13 4 2 3 2" xfId="4520" xr:uid="{00000000-0005-0000-0000-0000C8000000}"/>
    <cellStyle name="Comma 13 4 2 4" xfId="3835" xr:uid="{00000000-0005-0000-0000-0000C9000000}"/>
    <cellStyle name="Comma 13 4 3" xfId="614" xr:uid="{00000000-0005-0000-0000-0000CA000000}"/>
    <cellStyle name="Comma 13 4 3 2" xfId="1301" xr:uid="{00000000-0005-0000-0000-0000CB000000}"/>
    <cellStyle name="Comma 13 4 3 2 2" xfId="4693" xr:uid="{00000000-0005-0000-0000-0000CC000000}"/>
    <cellStyle name="Comma 13 4 3 3" xfId="4008" xr:uid="{00000000-0005-0000-0000-0000CD000000}"/>
    <cellStyle name="Comma 13 4 4" xfId="979" xr:uid="{00000000-0005-0000-0000-0000CE000000}"/>
    <cellStyle name="Comma 13 4 4 2" xfId="4371" xr:uid="{00000000-0005-0000-0000-0000CF000000}"/>
    <cellStyle name="Comma 13 4 5" xfId="3686" xr:uid="{00000000-0005-0000-0000-0000D0000000}"/>
    <cellStyle name="Comma 13 5" xfId="328" xr:uid="{00000000-0005-0000-0000-0000D1000000}"/>
    <cellStyle name="Comma 13 5 2" xfId="651" xr:uid="{00000000-0005-0000-0000-0000D2000000}"/>
    <cellStyle name="Comma 13 5 2 2" xfId="1338" xr:uid="{00000000-0005-0000-0000-0000D3000000}"/>
    <cellStyle name="Comma 13 5 2 2 2" xfId="4730" xr:uid="{00000000-0005-0000-0000-0000D4000000}"/>
    <cellStyle name="Comma 13 5 2 3" xfId="4045" xr:uid="{00000000-0005-0000-0000-0000D5000000}"/>
    <cellStyle name="Comma 13 5 3" xfId="1016" xr:uid="{00000000-0005-0000-0000-0000D6000000}"/>
    <cellStyle name="Comma 13 5 3 2" xfId="4408" xr:uid="{00000000-0005-0000-0000-0000D7000000}"/>
    <cellStyle name="Comma 13 5 4" xfId="3723" xr:uid="{00000000-0005-0000-0000-0000D8000000}"/>
    <cellStyle name="Comma 13 6" xfId="503" xr:uid="{00000000-0005-0000-0000-0000D9000000}"/>
    <cellStyle name="Comma 13 6 2" xfId="1190" xr:uid="{00000000-0005-0000-0000-0000DA000000}"/>
    <cellStyle name="Comma 13 6 2 2" xfId="4582" xr:uid="{00000000-0005-0000-0000-0000DB000000}"/>
    <cellStyle name="Comma 13 6 3" xfId="3897" xr:uid="{00000000-0005-0000-0000-0000DC000000}"/>
    <cellStyle name="Comma 13 7" xfId="868" xr:uid="{00000000-0005-0000-0000-0000DD000000}"/>
    <cellStyle name="Comma 13 7 2" xfId="4260" xr:uid="{00000000-0005-0000-0000-0000DE000000}"/>
    <cellStyle name="Comma 13 8" xfId="3575" xr:uid="{00000000-0005-0000-0000-0000DF000000}"/>
    <cellStyle name="Comma 14" xfId="79" xr:uid="{00000000-0005-0000-0000-0000E0000000}"/>
    <cellStyle name="Comma 14 2" xfId="318" xr:uid="{00000000-0005-0000-0000-0000E1000000}"/>
    <cellStyle name="Comma 14 2 2" xfId="480" xr:uid="{00000000-0005-0000-0000-0000E2000000}"/>
    <cellStyle name="Comma 14 2 2 2" xfId="802" xr:uid="{00000000-0005-0000-0000-0000E3000000}"/>
    <cellStyle name="Comma 14 2 2 2 2" xfId="1489" xr:uid="{00000000-0005-0000-0000-0000E4000000}"/>
    <cellStyle name="Comma 14 2 2 2 2 2" xfId="4881" xr:uid="{00000000-0005-0000-0000-0000E5000000}"/>
    <cellStyle name="Comma 14 2 2 2 3" xfId="4196" xr:uid="{00000000-0005-0000-0000-0000E6000000}"/>
    <cellStyle name="Comma 14 2 2 3" xfId="1167" xr:uid="{00000000-0005-0000-0000-0000E7000000}"/>
    <cellStyle name="Comma 14 2 2 3 2" xfId="4559" xr:uid="{00000000-0005-0000-0000-0000E8000000}"/>
    <cellStyle name="Comma 14 2 2 4" xfId="3874" xr:uid="{00000000-0005-0000-0000-0000E9000000}"/>
    <cellStyle name="Comma 14 2 3" xfId="641" xr:uid="{00000000-0005-0000-0000-0000EA000000}"/>
    <cellStyle name="Comma 14 2 3 2" xfId="1328" xr:uid="{00000000-0005-0000-0000-0000EB000000}"/>
    <cellStyle name="Comma 14 2 3 2 2" xfId="4720" xr:uid="{00000000-0005-0000-0000-0000EC000000}"/>
    <cellStyle name="Comma 14 2 3 3" xfId="4035" xr:uid="{00000000-0005-0000-0000-0000ED000000}"/>
    <cellStyle name="Comma 14 2 4" xfId="1006" xr:uid="{00000000-0005-0000-0000-0000EE000000}"/>
    <cellStyle name="Comma 14 2 4 2" xfId="4398" xr:uid="{00000000-0005-0000-0000-0000EF000000}"/>
    <cellStyle name="Comma 14 2 5" xfId="3713" xr:uid="{00000000-0005-0000-0000-0000F0000000}"/>
    <cellStyle name="Comma 14 3" xfId="493" xr:uid="{00000000-0005-0000-0000-0000F1000000}"/>
    <cellStyle name="Comma 14 3 2" xfId="1180" xr:uid="{00000000-0005-0000-0000-0000F2000000}"/>
    <cellStyle name="Comma 14 3 2 2" xfId="4572" xr:uid="{00000000-0005-0000-0000-0000F3000000}"/>
    <cellStyle name="Comma 14 3 3" xfId="3887" xr:uid="{00000000-0005-0000-0000-0000F4000000}"/>
    <cellStyle name="Comma 14 4" xfId="858" xr:uid="{00000000-0005-0000-0000-0000F5000000}"/>
    <cellStyle name="Comma 14 4 2" xfId="4250" xr:uid="{00000000-0005-0000-0000-0000F6000000}"/>
    <cellStyle name="Comma 14 5" xfId="3565" xr:uid="{00000000-0005-0000-0000-0000F7000000}"/>
    <cellStyle name="Comma 15" xfId="124" xr:uid="{00000000-0005-0000-0000-0000F8000000}"/>
    <cellStyle name="Comma 15 2" xfId="330" xr:uid="{00000000-0005-0000-0000-0000F9000000}"/>
    <cellStyle name="Comma 15 2 2" xfId="653" xr:uid="{00000000-0005-0000-0000-0000FA000000}"/>
    <cellStyle name="Comma 15 2 2 2" xfId="1340" xr:uid="{00000000-0005-0000-0000-0000FB000000}"/>
    <cellStyle name="Comma 15 2 2 2 2" xfId="4732" xr:uid="{00000000-0005-0000-0000-0000FC000000}"/>
    <cellStyle name="Comma 15 2 2 3" xfId="4047" xr:uid="{00000000-0005-0000-0000-0000FD000000}"/>
    <cellStyle name="Comma 15 2 3" xfId="1018" xr:uid="{00000000-0005-0000-0000-0000FE000000}"/>
    <cellStyle name="Comma 15 2 3 2" xfId="4410" xr:uid="{00000000-0005-0000-0000-0000FF000000}"/>
    <cellStyle name="Comma 15 2 4" xfId="3725" xr:uid="{00000000-0005-0000-0000-000000010000}"/>
    <cellStyle name="Comma 15 3" xfId="505" xr:uid="{00000000-0005-0000-0000-000001010000}"/>
    <cellStyle name="Comma 15 3 2" xfId="1192" xr:uid="{00000000-0005-0000-0000-000002010000}"/>
    <cellStyle name="Comma 15 3 2 2" xfId="4584" xr:uid="{00000000-0005-0000-0000-000003010000}"/>
    <cellStyle name="Comma 15 3 3" xfId="3899" xr:uid="{00000000-0005-0000-0000-000004010000}"/>
    <cellStyle name="Comma 15 4" xfId="870" xr:uid="{00000000-0005-0000-0000-000005010000}"/>
    <cellStyle name="Comma 15 4 2" xfId="4262" xr:uid="{00000000-0005-0000-0000-000006010000}"/>
    <cellStyle name="Comma 15 5" xfId="3577" xr:uid="{00000000-0005-0000-0000-000007010000}"/>
    <cellStyle name="Comma 16" xfId="117" xr:uid="{00000000-0005-0000-0000-000008010000}"/>
    <cellStyle name="Comma 16 2" xfId="323" xr:uid="{00000000-0005-0000-0000-000009010000}"/>
    <cellStyle name="Comma 16 2 2" xfId="646" xr:uid="{00000000-0005-0000-0000-00000A010000}"/>
    <cellStyle name="Comma 16 2 2 2" xfId="1333" xr:uid="{00000000-0005-0000-0000-00000B010000}"/>
    <cellStyle name="Comma 16 2 2 2 2" xfId="4725" xr:uid="{00000000-0005-0000-0000-00000C010000}"/>
    <cellStyle name="Comma 16 2 2 3" xfId="4040" xr:uid="{00000000-0005-0000-0000-00000D010000}"/>
    <cellStyle name="Comma 16 2 3" xfId="1011" xr:uid="{00000000-0005-0000-0000-00000E010000}"/>
    <cellStyle name="Comma 16 2 3 2" xfId="4403" xr:uid="{00000000-0005-0000-0000-00000F010000}"/>
    <cellStyle name="Comma 16 2 4" xfId="3718" xr:uid="{00000000-0005-0000-0000-000010010000}"/>
    <cellStyle name="Comma 16 3" xfId="498" xr:uid="{00000000-0005-0000-0000-000011010000}"/>
    <cellStyle name="Comma 16 3 2" xfId="1185" xr:uid="{00000000-0005-0000-0000-000012010000}"/>
    <cellStyle name="Comma 16 3 2 2" xfId="4577" xr:uid="{00000000-0005-0000-0000-000013010000}"/>
    <cellStyle name="Comma 16 3 3" xfId="3892" xr:uid="{00000000-0005-0000-0000-000014010000}"/>
    <cellStyle name="Comma 16 4" xfId="863" xr:uid="{00000000-0005-0000-0000-000015010000}"/>
    <cellStyle name="Comma 16 4 2" xfId="4255" xr:uid="{00000000-0005-0000-0000-000016010000}"/>
    <cellStyle name="Comma 16 5" xfId="3570" xr:uid="{00000000-0005-0000-0000-000017010000}"/>
    <cellStyle name="Comma 17" xfId="71" xr:uid="{00000000-0005-0000-0000-000018010000}"/>
    <cellStyle name="Comma 17 10" xfId="2470" xr:uid="{00000000-0005-0000-0000-000019010000}"/>
    <cellStyle name="Comma 17 10 2" xfId="5812" xr:uid="{00000000-0005-0000-0000-00001A010000}"/>
    <cellStyle name="Comma 17 10 2 2" xfId="11126" xr:uid="{00000000-0005-0000-0000-00001B010000}"/>
    <cellStyle name="Comma 17 10 3" xfId="8468" xr:uid="{00000000-0005-0000-0000-00001C010000}"/>
    <cellStyle name="Comma 17 11" xfId="3560" xr:uid="{00000000-0005-0000-0000-00001D010000}"/>
    <cellStyle name="Comma 17 11 2" xfId="9372" xr:uid="{00000000-0005-0000-0000-00001E010000}"/>
    <cellStyle name="Comma 17 12" xfId="6709" xr:uid="{00000000-0005-0000-0000-00001F010000}"/>
    <cellStyle name="Comma 17 2" xfId="187" xr:uid="{00000000-0005-0000-0000-000020010000}"/>
    <cellStyle name="Comma 17 2 2" xfId="388" xr:uid="{00000000-0005-0000-0000-000021010000}"/>
    <cellStyle name="Comma 17 2 2 2" xfId="711" xr:uid="{00000000-0005-0000-0000-000022010000}"/>
    <cellStyle name="Comma 17 2 2 2 2" xfId="1398" xr:uid="{00000000-0005-0000-0000-000023010000}"/>
    <cellStyle name="Comma 17 2 2 2 2 2" xfId="2331" xr:uid="{00000000-0005-0000-0000-000024010000}"/>
    <cellStyle name="Comma 17 2 2 2 2 2 2" xfId="5678" xr:uid="{00000000-0005-0000-0000-000025010000}"/>
    <cellStyle name="Comma 17 2 2 2 2 2 2 2" xfId="10992" xr:uid="{00000000-0005-0000-0000-000026010000}"/>
    <cellStyle name="Comma 17 2 2 2 2 2 3" xfId="8334" xr:uid="{00000000-0005-0000-0000-000027010000}"/>
    <cellStyle name="Comma 17 2 2 2 2 3" xfId="3252" xr:uid="{00000000-0005-0000-0000-000028010000}"/>
    <cellStyle name="Comma 17 2 2 2 2 3 2" xfId="6555" xr:uid="{00000000-0005-0000-0000-000029010000}"/>
    <cellStyle name="Comma 17 2 2 2 2 3 2 2" xfId="11869" xr:uid="{00000000-0005-0000-0000-00002A010000}"/>
    <cellStyle name="Comma 17 2 2 2 2 3 3" xfId="9211" xr:uid="{00000000-0005-0000-0000-00002B010000}"/>
    <cellStyle name="Comma 17 2 2 2 2 4" xfId="4790" xr:uid="{00000000-0005-0000-0000-00002C010000}"/>
    <cellStyle name="Comma 17 2 2 2 2 4 2" xfId="10115" xr:uid="{00000000-0005-0000-0000-00002D010000}"/>
    <cellStyle name="Comma 17 2 2 2 2 5" xfId="7457" xr:uid="{00000000-0005-0000-0000-00002E010000}"/>
    <cellStyle name="Comma 17 2 2 2 3" xfId="1893" xr:uid="{00000000-0005-0000-0000-00002F010000}"/>
    <cellStyle name="Comma 17 2 2 2 3 2" xfId="5242" xr:uid="{00000000-0005-0000-0000-000030010000}"/>
    <cellStyle name="Comma 17 2 2 2 3 2 2" xfId="10556" xr:uid="{00000000-0005-0000-0000-000031010000}"/>
    <cellStyle name="Comma 17 2 2 2 3 3" xfId="7898" xr:uid="{00000000-0005-0000-0000-000032010000}"/>
    <cellStyle name="Comma 17 2 2 2 4" xfId="2814" xr:uid="{00000000-0005-0000-0000-000033010000}"/>
    <cellStyle name="Comma 17 2 2 2 4 2" xfId="6119" xr:uid="{00000000-0005-0000-0000-000034010000}"/>
    <cellStyle name="Comma 17 2 2 2 4 2 2" xfId="11433" xr:uid="{00000000-0005-0000-0000-000035010000}"/>
    <cellStyle name="Comma 17 2 2 2 4 3" xfId="8775" xr:uid="{00000000-0005-0000-0000-000036010000}"/>
    <cellStyle name="Comma 17 2 2 2 5" xfId="4105" xr:uid="{00000000-0005-0000-0000-000037010000}"/>
    <cellStyle name="Comma 17 2 2 2 5 2" xfId="9679" xr:uid="{00000000-0005-0000-0000-000038010000}"/>
    <cellStyle name="Comma 17 2 2 2 6" xfId="7021" xr:uid="{00000000-0005-0000-0000-000039010000}"/>
    <cellStyle name="Comma 17 2 2 3" xfId="1076" xr:uid="{00000000-0005-0000-0000-00003A010000}"/>
    <cellStyle name="Comma 17 2 2 3 2" xfId="2131" xr:uid="{00000000-0005-0000-0000-00003B010000}"/>
    <cellStyle name="Comma 17 2 2 3 2 2" xfId="5478" xr:uid="{00000000-0005-0000-0000-00003C010000}"/>
    <cellStyle name="Comma 17 2 2 3 2 2 2" xfId="10792" xr:uid="{00000000-0005-0000-0000-00003D010000}"/>
    <cellStyle name="Comma 17 2 2 3 2 3" xfId="8134" xr:uid="{00000000-0005-0000-0000-00003E010000}"/>
    <cellStyle name="Comma 17 2 2 3 3" xfId="3052" xr:uid="{00000000-0005-0000-0000-00003F010000}"/>
    <cellStyle name="Comma 17 2 2 3 3 2" xfId="6355" xr:uid="{00000000-0005-0000-0000-000040010000}"/>
    <cellStyle name="Comma 17 2 2 3 3 2 2" xfId="11669" xr:uid="{00000000-0005-0000-0000-000041010000}"/>
    <cellStyle name="Comma 17 2 2 3 3 3" xfId="9011" xr:uid="{00000000-0005-0000-0000-000042010000}"/>
    <cellStyle name="Comma 17 2 2 3 4" xfId="4468" xr:uid="{00000000-0005-0000-0000-000043010000}"/>
    <cellStyle name="Comma 17 2 2 3 4 2" xfId="9915" xr:uid="{00000000-0005-0000-0000-000044010000}"/>
    <cellStyle name="Comma 17 2 2 3 5" xfId="7257" xr:uid="{00000000-0005-0000-0000-000045010000}"/>
    <cellStyle name="Comma 17 2 2 4" xfId="1693" xr:uid="{00000000-0005-0000-0000-000046010000}"/>
    <cellStyle name="Comma 17 2 2 4 2" xfId="5042" xr:uid="{00000000-0005-0000-0000-000047010000}"/>
    <cellStyle name="Comma 17 2 2 4 2 2" xfId="10356" xr:uid="{00000000-0005-0000-0000-000048010000}"/>
    <cellStyle name="Comma 17 2 2 4 3" xfId="7698" xr:uid="{00000000-0005-0000-0000-000049010000}"/>
    <cellStyle name="Comma 17 2 2 5" xfId="2614" xr:uid="{00000000-0005-0000-0000-00004A010000}"/>
    <cellStyle name="Comma 17 2 2 5 2" xfId="5919" xr:uid="{00000000-0005-0000-0000-00004B010000}"/>
    <cellStyle name="Comma 17 2 2 5 2 2" xfId="11233" xr:uid="{00000000-0005-0000-0000-00004C010000}"/>
    <cellStyle name="Comma 17 2 2 5 3" xfId="8575" xr:uid="{00000000-0005-0000-0000-00004D010000}"/>
    <cellStyle name="Comma 17 2 2 6" xfId="3783" xr:uid="{00000000-0005-0000-0000-00004E010000}"/>
    <cellStyle name="Comma 17 2 2 6 2" xfId="9479" xr:uid="{00000000-0005-0000-0000-00004F010000}"/>
    <cellStyle name="Comma 17 2 2 7" xfId="6821" xr:uid="{00000000-0005-0000-0000-000050010000}"/>
    <cellStyle name="Comma 17 2 3" xfId="563" xr:uid="{00000000-0005-0000-0000-000051010000}"/>
    <cellStyle name="Comma 17 2 3 2" xfId="1250" xr:uid="{00000000-0005-0000-0000-000052010000}"/>
    <cellStyle name="Comma 17 2 3 2 2" xfId="2242" xr:uid="{00000000-0005-0000-0000-000053010000}"/>
    <cellStyle name="Comma 17 2 3 2 2 2" xfId="804" xr:uid="{00000000-0005-0000-0000-000054010000}"/>
    <cellStyle name="Comma 17 2 3 2 2 2 2" xfId="847" xr:uid="{00000000-0005-0000-0000-000055010000}"/>
    <cellStyle name="Comma 17 2 3 2 2 2 2 2" xfId="1532" xr:uid="{00000000-0005-0000-0000-000056010000}"/>
    <cellStyle name="Comma 17 2 3 2 2 2 2 2 2" xfId="2454" xr:uid="{00000000-0005-0000-0000-000057010000}"/>
    <cellStyle name="Comma 17 2 3 2 2 2 2 2 2 2" xfId="5801" xr:uid="{00000000-0005-0000-0000-000058010000}"/>
    <cellStyle name="Comma 17 2 3 2 2 2 2 2 2 2 2" xfId="11115" xr:uid="{00000000-0005-0000-0000-000059010000}"/>
    <cellStyle name="Comma 17 2 3 2 2 2 2 2 2 3" xfId="8457" xr:uid="{00000000-0005-0000-0000-00005A010000}"/>
    <cellStyle name="Comma 17 2 3 2 2 2 2 2 3" xfId="3375" xr:uid="{00000000-0005-0000-0000-00005B010000}"/>
    <cellStyle name="Comma 17 2 3 2 2 2 2 2 3 2" xfId="6678" xr:uid="{00000000-0005-0000-0000-00005C010000}"/>
    <cellStyle name="Comma 17 2 3 2 2 2 2 2 3 2 2" xfId="11992" xr:uid="{00000000-0005-0000-0000-00005D010000}"/>
    <cellStyle name="Comma 17 2 3 2 2 2 2 2 3 3" xfId="9334" xr:uid="{00000000-0005-0000-0000-00005E010000}"/>
    <cellStyle name="Comma 17 2 3 2 2 2 2 2 4" xfId="4924" xr:uid="{00000000-0005-0000-0000-00005F010000}"/>
    <cellStyle name="Comma 17 2 3 2 2 2 2 2 4 2" xfId="10238" xr:uid="{00000000-0005-0000-0000-000060010000}"/>
    <cellStyle name="Comma 17 2 3 2 2 2 2 2 5" xfId="7580" xr:uid="{00000000-0005-0000-0000-000061010000}"/>
    <cellStyle name="Comma 17 2 3 2 2 2 2 3" xfId="2018" xr:uid="{00000000-0005-0000-0000-000062010000}"/>
    <cellStyle name="Comma 17 2 3 2 2 2 2 3 2" xfId="5365" xr:uid="{00000000-0005-0000-0000-000063010000}"/>
    <cellStyle name="Comma 17 2 3 2 2 2 2 3 2 2" xfId="10679" xr:uid="{00000000-0005-0000-0000-000064010000}"/>
    <cellStyle name="Comma 17 2 3 2 2 2 2 3 3" xfId="8021" xr:uid="{00000000-0005-0000-0000-000065010000}"/>
    <cellStyle name="Comma 17 2 3 2 2 2 2 4" xfId="2939" xr:uid="{00000000-0005-0000-0000-000066010000}"/>
    <cellStyle name="Comma 17 2 3 2 2 2 2 4 2" xfId="6242" xr:uid="{00000000-0005-0000-0000-000067010000}"/>
    <cellStyle name="Comma 17 2 3 2 2 2 2 4 2 2" xfId="11556" xr:uid="{00000000-0005-0000-0000-000068010000}"/>
    <cellStyle name="Comma 17 2 3 2 2 2 2 4 3" xfId="8898" xr:uid="{00000000-0005-0000-0000-000069010000}"/>
    <cellStyle name="Comma 17 2 3 2 2 2 2 5" xfId="4239" xr:uid="{00000000-0005-0000-0000-00006A010000}"/>
    <cellStyle name="Comma 17 2 3 2 2 2 2 5 2" xfId="9802" xr:uid="{00000000-0005-0000-0000-00006B010000}"/>
    <cellStyle name="Comma 17 2 3 2 2 2 2 6" xfId="7144" xr:uid="{00000000-0005-0000-0000-00006C010000}"/>
    <cellStyle name="Comma 17 2 3 2 2 2 3" xfId="1491" xr:uid="{00000000-0005-0000-0000-00006D010000}"/>
    <cellStyle name="Comma 17 2 3 2 2 2 3 2" xfId="2418" xr:uid="{00000000-0005-0000-0000-00006E010000}"/>
    <cellStyle name="Comma 17 2 3 2 2 2 3 2 2" xfId="5765" xr:uid="{00000000-0005-0000-0000-00006F010000}"/>
    <cellStyle name="Comma 17 2 3 2 2 2 3 2 2 2" xfId="11079" xr:uid="{00000000-0005-0000-0000-000070010000}"/>
    <cellStyle name="Comma 17 2 3 2 2 2 3 2 3" xfId="8421" xr:uid="{00000000-0005-0000-0000-000071010000}"/>
    <cellStyle name="Comma 17 2 3 2 2 2 3 3" xfId="3339" xr:uid="{00000000-0005-0000-0000-000072010000}"/>
    <cellStyle name="Comma 17 2 3 2 2 2 3 3 2" xfId="6642" xr:uid="{00000000-0005-0000-0000-000073010000}"/>
    <cellStyle name="Comma 17 2 3 2 2 2 3 3 2 2" xfId="11956" xr:uid="{00000000-0005-0000-0000-000074010000}"/>
    <cellStyle name="Comma 17 2 3 2 2 2 3 3 3" xfId="9298" xr:uid="{00000000-0005-0000-0000-000075010000}"/>
    <cellStyle name="Comma 17 2 3 2 2 2 3 4" xfId="4883" xr:uid="{00000000-0005-0000-0000-000076010000}"/>
    <cellStyle name="Comma 17 2 3 2 2 2 3 4 2" xfId="10202" xr:uid="{00000000-0005-0000-0000-000077010000}"/>
    <cellStyle name="Comma 17 2 3 2 2 2 3 5" xfId="7544" xr:uid="{00000000-0005-0000-0000-000078010000}"/>
    <cellStyle name="Comma 17 2 3 2 2 2 4" xfId="1980" xr:uid="{00000000-0005-0000-0000-000079010000}"/>
    <cellStyle name="Comma 17 2 3 2 2 2 4 2" xfId="5329" xr:uid="{00000000-0005-0000-0000-00007A010000}"/>
    <cellStyle name="Comma 17 2 3 2 2 2 4 2 2" xfId="10643" xr:uid="{00000000-0005-0000-0000-00007B010000}"/>
    <cellStyle name="Comma 17 2 3 2 2 2 4 3" xfId="7985" xr:uid="{00000000-0005-0000-0000-00007C010000}"/>
    <cellStyle name="Comma 17 2 3 2 2 2 5" xfId="2901" xr:uid="{00000000-0005-0000-0000-00007D010000}"/>
    <cellStyle name="Comma 17 2 3 2 2 2 5 2" xfId="6206" xr:uid="{00000000-0005-0000-0000-00007E010000}"/>
    <cellStyle name="Comma 17 2 3 2 2 2 5 2 2" xfId="11520" xr:uid="{00000000-0005-0000-0000-00007F010000}"/>
    <cellStyle name="Comma 17 2 3 2 2 2 5 3" xfId="8862" xr:uid="{00000000-0005-0000-0000-000080010000}"/>
    <cellStyle name="Comma 17 2 3 2 2 2 6" xfId="4198" xr:uid="{00000000-0005-0000-0000-000081010000}"/>
    <cellStyle name="Comma 17 2 3 2 2 2 6 2" xfId="9766" xr:uid="{00000000-0005-0000-0000-000082010000}"/>
    <cellStyle name="Comma 17 2 3 2 2 2 7" xfId="7108" xr:uid="{00000000-0005-0000-0000-000083010000}"/>
    <cellStyle name="Comma 17 2 3 2 2 3" xfId="5589" xr:uid="{00000000-0005-0000-0000-000084010000}"/>
    <cellStyle name="Comma 17 2 3 2 2 3 2" xfId="10903" xr:uid="{00000000-0005-0000-0000-000085010000}"/>
    <cellStyle name="Comma 17 2 3 2 2 4" xfId="8245" xr:uid="{00000000-0005-0000-0000-000086010000}"/>
    <cellStyle name="Comma 17 2 3 2 3" xfId="3163" xr:uid="{00000000-0005-0000-0000-000087010000}"/>
    <cellStyle name="Comma 17 2 3 2 3 2" xfId="6466" xr:uid="{00000000-0005-0000-0000-000088010000}"/>
    <cellStyle name="Comma 17 2 3 2 3 2 2" xfId="11780" xr:uid="{00000000-0005-0000-0000-000089010000}"/>
    <cellStyle name="Comma 17 2 3 2 3 3" xfId="9122" xr:uid="{00000000-0005-0000-0000-00008A010000}"/>
    <cellStyle name="Comma 17 2 3 2 4" xfId="4642" xr:uid="{00000000-0005-0000-0000-00008B010000}"/>
    <cellStyle name="Comma 17 2 3 2 4 2" xfId="10026" xr:uid="{00000000-0005-0000-0000-00008C010000}"/>
    <cellStyle name="Comma 17 2 3 2 5" xfId="7368" xr:uid="{00000000-0005-0000-0000-00008D010000}"/>
    <cellStyle name="Comma 17 2 3 3" xfId="1804" xr:uid="{00000000-0005-0000-0000-00008E010000}"/>
    <cellStyle name="Comma 17 2 3 3 2" xfId="5153" xr:uid="{00000000-0005-0000-0000-00008F010000}"/>
    <cellStyle name="Comma 17 2 3 3 2 2" xfId="10467" xr:uid="{00000000-0005-0000-0000-000090010000}"/>
    <cellStyle name="Comma 17 2 3 3 3" xfId="7809" xr:uid="{00000000-0005-0000-0000-000091010000}"/>
    <cellStyle name="Comma 17 2 3 4" xfId="2725" xr:uid="{00000000-0005-0000-0000-000092010000}"/>
    <cellStyle name="Comma 17 2 3 4 2" xfId="6030" xr:uid="{00000000-0005-0000-0000-000093010000}"/>
    <cellStyle name="Comma 17 2 3 4 2 2" xfId="11344" xr:uid="{00000000-0005-0000-0000-000094010000}"/>
    <cellStyle name="Comma 17 2 3 4 3" xfId="8686" xr:uid="{00000000-0005-0000-0000-000095010000}"/>
    <cellStyle name="Comma 17 2 3 5" xfId="3957" xr:uid="{00000000-0005-0000-0000-000096010000}"/>
    <cellStyle name="Comma 17 2 3 5 2" xfId="9590" xr:uid="{00000000-0005-0000-0000-000097010000}"/>
    <cellStyle name="Comma 17 2 3 6" xfId="6932" xr:uid="{00000000-0005-0000-0000-000098010000}"/>
    <cellStyle name="Comma 17 2 4" xfId="928" xr:uid="{00000000-0005-0000-0000-000099010000}"/>
    <cellStyle name="Comma 17 2 4 2" xfId="2042" xr:uid="{00000000-0005-0000-0000-00009A010000}"/>
    <cellStyle name="Comma 17 2 4 2 2" xfId="5389" xr:uid="{00000000-0005-0000-0000-00009B010000}"/>
    <cellStyle name="Comma 17 2 4 2 2 2" xfId="10703" xr:uid="{00000000-0005-0000-0000-00009C010000}"/>
    <cellStyle name="Comma 17 2 4 2 3" xfId="8045" xr:uid="{00000000-0005-0000-0000-00009D010000}"/>
    <cellStyle name="Comma 17 2 4 3" xfId="2963" xr:uid="{00000000-0005-0000-0000-00009E010000}"/>
    <cellStyle name="Comma 17 2 4 3 2" xfId="6266" xr:uid="{00000000-0005-0000-0000-00009F010000}"/>
    <cellStyle name="Comma 17 2 4 3 2 2" xfId="11580" xr:uid="{00000000-0005-0000-0000-0000A0010000}"/>
    <cellStyle name="Comma 17 2 4 3 3" xfId="8922" xr:uid="{00000000-0005-0000-0000-0000A1010000}"/>
    <cellStyle name="Comma 17 2 4 4" xfId="4320" xr:uid="{00000000-0005-0000-0000-0000A2010000}"/>
    <cellStyle name="Comma 17 2 4 4 2" xfId="9826" xr:uid="{00000000-0005-0000-0000-0000A3010000}"/>
    <cellStyle name="Comma 17 2 4 5" xfId="7168" xr:uid="{00000000-0005-0000-0000-0000A4010000}"/>
    <cellStyle name="Comma 17 2 5" xfId="1597" xr:uid="{00000000-0005-0000-0000-0000A5010000}"/>
    <cellStyle name="Comma 17 2 5 2" xfId="4953" xr:uid="{00000000-0005-0000-0000-0000A6010000}"/>
    <cellStyle name="Comma 17 2 5 2 2" xfId="10267" xr:uid="{00000000-0005-0000-0000-0000A7010000}"/>
    <cellStyle name="Comma 17 2 5 3" xfId="7609" xr:uid="{00000000-0005-0000-0000-0000A8010000}"/>
    <cellStyle name="Comma 17 2 6" xfId="2519" xr:uid="{00000000-0005-0000-0000-0000A9010000}"/>
    <cellStyle name="Comma 17 2 6 2" xfId="5830" xr:uid="{00000000-0005-0000-0000-0000AA010000}"/>
    <cellStyle name="Comma 17 2 6 2 2" xfId="11144" xr:uid="{00000000-0005-0000-0000-0000AB010000}"/>
    <cellStyle name="Comma 17 2 6 3" xfId="8486" xr:uid="{00000000-0005-0000-0000-0000AC010000}"/>
    <cellStyle name="Comma 17 2 7" xfId="3635" xr:uid="{00000000-0005-0000-0000-0000AD010000}"/>
    <cellStyle name="Comma 17 2 7 2" xfId="9390" xr:uid="{00000000-0005-0000-0000-0000AE010000}"/>
    <cellStyle name="Comma 17 2 8" xfId="6727" xr:uid="{00000000-0005-0000-0000-0000AF010000}"/>
    <cellStyle name="Comma 17 3" xfId="191" xr:uid="{00000000-0005-0000-0000-0000B0010000}"/>
    <cellStyle name="Comma 17 3 2" xfId="231" xr:uid="{00000000-0005-0000-0000-0000B1010000}"/>
    <cellStyle name="Comma 17 3 2 2" xfId="234" xr:uid="{00000000-0005-0000-0000-0000B2010000}"/>
    <cellStyle name="Comma 17 3 2 2 10" xfId="6767" xr:uid="{00000000-0005-0000-0000-0000B3010000}"/>
    <cellStyle name="Comma 17 3 2 2 2" xfId="304" xr:uid="{00000000-0005-0000-0000-0000B4010000}"/>
    <cellStyle name="Comma 17 3 2 2 2 2" xfId="479" xr:uid="{00000000-0005-0000-0000-0000B5010000}"/>
    <cellStyle name="Comma 17 3 2 2 2 2 2" xfId="809" xr:uid="{00000000-0005-0000-0000-0000B6010000}"/>
    <cellStyle name="Comma 17 3 2 2 2 2 2 2" xfId="1495" xr:uid="{00000000-0005-0000-0000-0000B7010000}"/>
    <cellStyle name="Comma 17 3 2 2 2 2 2 2 2" xfId="2421" xr:uid="{00000000-0005-0000-0000-0000B8010000}"/>
    <cellStyle name="Comma 17 3 2 2 2 2 2 2 2 2" xfId="5768" xr:uid="{00000000-0005-0000-0000-0000B9010000}"/>
    <cellStyle name="Comma 17 3 2 2 2 2 2 2 2 2 2" xfId="11082" xr:uid="{00000000-0005-0000-0000-0000BA010000}"/>
    <cellStyle name="Comma 17 3 2 2 2 2 2 2 2 3" xfId="8424" xr:uid="{00000000-0005-0000-0000-0000BB010000}"/>
    <cellStyle name="Comma 17 3 2 2 2 2 2 2 3" xfId="3342" xr:uid="{00000000-0005-0000-0000-0000BC010000}"/>
    <cellStyle name="Comma 17 3 2 2 2 2 2 2 3 2" xfId="6645" xr:uid="{00000000-0005-0000-0000-0000BD010000}"/>
    <cellStyle name="Comma 17 3 2 2 2 2 2 2 3 2 2" xfId="11959" xr:uid="{00000000-0005-0000-0000-0000BE010000}"/>
    <cellStyle name="Comma 17 3 2 2 2 2 2 2 3 3" xfId="9301" xr:uid="{00000000-0005-0000-0000-0000BF010000}"/>
    <cellStyle name="Comma 17 3 2 2 2 2 2 2 4" xfId="4887" xr:uid="{00000000-0005-0000-0000-0000C0010000}"/>
    <cellStyle name="Comma 17 3 2 2 2 2 2 2 4 2" xfId="10205" xr:uid="{00000000-0005-0000-0000-0000C1010000}"/>
    <cellStyle name="Comma 17 3 2 2 2 2 2 2 5" xfId="7547" xr:uid="{00000000-0005-0000-0000-0000C2010000}"/>
    <cellStyle name="Comma 17 3 2 2 2 2 2 3" xfId="1984" xr:uid="{00000000-0005-0000-0000-0000C3010000}"/>
    <cellStyle name="Comma 17 3 2 2 2 2 2 3 2" xfId="5332" xr:uid="{00000000-0005-0000-0000-0000C4010000}"/>
    <cellStyle name="Comma 17 3 2 2 2 2 2 3 2 2" xfId="10646" xr:uid="{00000000-0005-0000-0000-0000C5010000}"/>
    <cellStyle name="Comma 17 3 2 2 2 2 2 3 3" xfId="7988" xr:uid="{00000000-0005-0000-0000-0000C6010000}"/>
    <cellStyle name="Comma 17 3 2 2 2 2 2 4" xfId="2905" xr:uid="{00000000-0005-0000-0000-0000C7010000}"/>
    <cellStyle name="Comma 17 3 2 2 2 2 2 4 2" xfId="6209" xr:uid="{00000000-0005-0000-0000-0000C8010000}"/>
    <cellStyle name="Comma 17 3 2 2 2 2 2 4 2 2" xfId="11523" xr:uid="{00000000-0005-0000-0000-0000C9010000}"/>
    <cellStyle name="Comma 17 3 2 2 2 2 2 4 3" xfId="8865" xr:uid="{00000000-0005-0000-0000-0000CA010000}"/>
    <cellStyle name="Comma 17 3 2 2 2 2 2 5" xfId="4202" xr:uid="{00000000-0005-0000-0000-0000CB010000}"/>
    <cellStyle name="Comma 17 3 2 2 2 2 2 5 2" xfId="9769" xr:uid="{00000000-0005-0000-0000-0000CC010000}"/>
    <cellStyle name="Comma 17 3 2 2 2 2 2 6" xfId="7111" xr:uid="{00000000-0005-0000-0000-0000CD010000}"/>
    <cellStyle name="Comma 17 3 2 2 2 2 3" xfId="832" xr:uid="{00000000-0005-0000-0000-0000CE010000}"/>
    <cellStyle name="Comma 17 3 2 2 2 2 3 2" xfId="1517" xr:uid="{00000000-0005-0000-0000-0000CF010000}"/>
    <cellStyle name="Comma 17 3 2 2 2 2 3 2 2" xfId="2439" xr:uid="{00000000-0005-0000-0000-0000D0010000}"/>
    <cellStyle name="Comma 17 3 2 2 2 2 3 2 2 2" xfId="5786" xr:uid="{00000000-0005-0000-0000-0000D1010000}"/>
    <cellStyle name="Comma 17 3 2 2 2 2 3 2 2 2 2" xfId="11100" xr:uid="{00000000-0005-0000-0000-0000D2010000}"/>
    <cellStyle name="Comma 17 3 2 2 2 2 3 2 2 3" xfId="8442" xr:uid="{00000000-0005-0000-0000-0000D3010000}"/>
    <cellStyle name="Comma 17 3 2 2 2 2 3 2 3" xfId="3360" xr:uid="{00000000-0005-0000-0000-0000D4010000}"/>
    <cellStyle name="Comma 17 3 2 2 2 2 3 2 3 2" xfId="6663" xr:uid="{00000000-0005-0000-0000-0000D5010000}"/>
    <cellStyle name="Comma 17 3 2 2 2 2 3 2 3 2 2" xfId="11977" xr:uid="{00000000-0005-0000-0000-0000D6010000}"/>
    <cellStyle name="Comma 17 3 2 2 2 2 3 2 3 3" xfId="9319" xr:uid="{00000000-0005-0000-0000-0000D7010000}"/>
    <cellStyle name="Comma 17 3 2 2 2 2 3 2 4" xfId="4909" xr:uid="{00000000-0005-0000-0000-0000D8010000}"/>
    <cellStyle name="Comma 17 3 2 2 2 2 3 2 4 2" xfId="10223" xr:uid="{00000000-0005-0000-0000-0000D9010000}"/>
    <cellStyle name="Comma 17 3 2 2 2 2 3 2 5" xfId="7565" xr:uid="{00000000-0005-0000-0000-0000DA010000}"/>
    <cellStyle name="Comma 17 3 2 2 2 2 3 3" xfId="2003" xr:uid="{00000000-0005-0000-0000-0000DB010000}"/>
    <cellStyle name="Comma 17 3 2 2 2 2 3 3 2" xfId="5350" xr:uid="{00000000-0005-0000-0000-0000DC010000}"/>
    <cellStyle name="Comma 17 3 2 2 2 2 3 3 2 2" xfId="10664" xr:uid="{00000000-0005-0000-0000-0000DD010000}"/>
    <cellStyle name="Comma 17 3 2 2 2 2 3 3 3" xfId="8006" xr:uid="{00000000-0005-0000-0000-0000DE010000}"/>
    <cellStyle name="Comma 17 3 2 2 2 2 3 4" xfId="2924" xr:uid="{00000000-0005-0000-0000-0000DF010000}"/>
    <cellStyle name="Comma 17 3 2 2 2 2 3 4 2" xfId="6227" xr:uid="{00000000-0005-0000-0000-0000E0010000}"/>
    <cellStyle name="Comma 17 3 2 2 2 2 3 4 2 2" xfId="11541" xr:uid="{00000000-0005-0000-0000-0000E1010000}"/>
    <cellStyle name="Comma 17 3 2 2 2 2 3 4 3" xfId="8883" xr:uid="{00000000-0005-0000-0000-0000E2010000}"/>
    <cellStyle name="Comma 17 3 2 2 2 2 3 5" xfId="4224" xr:uid="{00000000-0005-0000-0000-0000E3010000}"/>
    <cellStyle name="Comma 17 3 2 2 2 2 3 5 2" xfId="9787" xr:uid="{00000000-0005-0000-0000-0000E4010000}"/>
    <cellStyle name="Comma 17 3 2 2 2 2 3 6" xfId="7129" xr:uid="{00000000-0005-0000-0000-0000E5010000}"/>
    <cellStyle name="Comma 17 3 2 2 2 2 4" xfId="801" xr:uid="{00000000-0005-0000-0000-0000E6010000}"/>
    <cellStyle name="Comma 17 3 2 2 2 2 4 2" xfId="1488" xr:uid="{00000000-0005-0000-0000-0000E7010000}"/>
    <cellStyle name="Comma 17 3 2 2 2 2 4 2 2" xfId="2416" xr:uid="{00000000-0005-0000-0000-0000E8010000}"/>
    <cellStyle name="Comma 17 3 2 2 2 2 4 2 2 2" xfId="5763" xr:uid="{00000000-0005-0000-0000-0000E9010000}"/>
    <cellStyle name="Comma 17 3 2 2 2 2 4 2 2 2 2" xfId="11077" xr:uid="{00000000-0005-0000-0000-0000EA010000}"/>
    <cellStyle name="Comma 17 3 2 2 2 2 4 2 2 3" xfId="8419" xr:uid="{00000000-0005-0000-0000-0000EB010000}"/>
    <cellStyle name="Comma 17 3 2 2 2 2 4 2 3" xfId="3337" xr:uid="{00000000-0005-0000-0000-0000EC010000}"/>
    <cellStyle name="Comma 17 3 2 2 2 2 4 2 3 2" xfId="6640" xr:uid="{00000000-0005-0000-0000-0000ED010000}"/>
    <cellStyle name="Comma 17 3 2 2 2 2 4 2 3 2 2" xfId="11954" xr:uid="{00000000-0005-0000-0000-0000EE010000}"/>
    <cellStyle name="Comma 17 3 2 2 2 2 4 2 3 3" xfId="9296" xr:uid="{00000000-0005-0000-0000-0000EF010000}"/>
    <cellStyle name="Comma 17 3 2 2 2 2 4 2 4" xfId="4880" xr:uid="{00000000-0005-0000-0000-0000F0010000}"/>
    <cellStyle name="Comma 17 3 2 2 2 2 4 2 4 2" xfId="10200" xr:uid="{00000000-0005-0000-0000-0000F1010000}"/>
    <cellStyle name="Comma 17 3 2 2 2 2 4 2 5" xfId="7542" xr:uid="{00000000-0005-0000-0000-0000F2010000}"/>
    <cellStyle name="Comma 17 3 2 2 2 2 4 3" xfId="1978" xr:uid="{00000000-0005-0000-0000-0000F3010000}"/>
    <cellStyle name="Comma 17 3 2 2 2 2 4 3 2" xfId="5327" xr:uid="{00000000-0005-0000-0000-0000F4010000}"/>
    <cellStyle name="Comma 17 3 2 2 2 2 4 3 2 2" xfId="10641" xr:uid="{00000000-0005-0000-0000-0000F5010000}"/>
    <cellStyle name="Comma 17 3 2 2 2 2 4 3 3" xfId="7983" xr:uid="{00000000-0005-0000-0000-0000F6010000}"/>
    <cellStyle name="Comma 17 3 2 2 2 2 4 4" xfId="2899" xr:uid="{00000000-0005-0000-0000-0000F7010000}"/>
    <cellStyle name="Comma 17 3 2 2 2 2 4 4 2" xfId="6204" xr:uid="{00000000-0005-0000-0000-0000F8010000}"/>
    <cellStyle name="Comma 17 3 2 2 2 2 4 4 2 2" xfId="11518" xr:uid="{00000000-0005-0000-0000-0000F9010000}"/>
    <cellStyle name="Comma 17 3 2 2 2 2 4 4 3" xfId="8860" xr:uid="{00000000-0005-0000-0000-0000FA010000}"/>
    <cellStyle name="Comma 17 3 2 2 2 2 4 5" xfId="4195" xr:uid="{00000000-0005-0000-0000-0000FB010000}"/>
    <cellStyle name="Comma 17 3 2 2 2 2 4 5 2" xfId="9764" xr:uid="{00000000-0005-0000-0000-0000FC010000}"/>
    <cellStyle name="Comma 17 3 2 2 2 2 4 6" xfId="7106" xr:uid="{00000000-0005-0000-0000-0000FD010000}"/>
    <cellStyle name="Comma 17 3 2 2 2 2 5" xfId="1166" xr:uid="{00000000-0005-0000-0000-0000FE010000}"/>
    <cellStyle name="Comma 17 3 2 2 2 2 5 2" xfId="2216" xr:uid="{00000000-0005-0000-0000-0000FF010000}"/>
    <cellStyle name="Comma 17 3 2 2 2 2 5 2 2" xfId="5563" xr:uid="{00000000-0005-0000-0000-000000020000}"/>
    <cellStyle name="Comma 17 3 2 2 2 2 5 2 2 2" xfId="10877" xr:uid="{00000000-0005-0000-0000-000001020000}"/>
    <cellStyle name="Comma 17 3 2 2 2 2 5 2 3" xfId="8219" xr:uid="{00000000-0005-0000-0000-000002020000}"/>
    <cellStyle name="Comma 17 3 2 2 2 2 5 3" xfId="3137" xr:uid="{00000000-0005-0000-0000-000003020000}"/>
    <cellStyle name="Comma 17 3 2 2 2 2 5 3 2" xfId="6440" xr:uid="{00000000-0005-0000-0000-000004020000}"/>
    <cellStyle name="Comma 17 3 2 2 2 2 5 3 2 2" xfId="11754" xr:uid="{00000000-0005-0000-0000-000005020000}"/>
    <cellStyle name="Comma 17 3 2 2 2 2 5 3 3" xfId="9096" xr:uid="{00000000-0005-0000-0000-000006020000}"/>
    <cellStyle name="Comma 17 3 2 2 2 2 5 4" xfId="4558" xr:uid="{00000000-0005-0000-0000-000007020000}"/>
    <cellStyle name="Comma 17 3 2 2 2 2 5 4 2" xfId="10000" xr:uid="{00000000-0005-0000-0000-000008020000}"/>
    <cellStyle name="Comma 17 3 2 2 2 2 5 5" xfId="7342" xr:uid="{00000000-0005-0000-0000-000009020000}"/>
    <cellStyle name="Comma 17 3 2 2 2 2 6" xfId="1778" xr:uid="{00000000-0005-0000-0000-00000A020000}"/>
    <cellStyle name="Comma 17 3 2 2 2 2 6 2" xfId="5127" xr:uid="{00000000-0005-0000-0000-00000B020000}"/>
    <cellStyle name="Comma 17 3 2 2 2 2 6 2 2" xfId="10441" xr:uid="{00000000-0005-0000-0000-00000C020000}"/>
    <cellStyle name="Comma 17 3 2 2 2 2 6 3" xfId="7783" xr:uid="{00000000-0005-0000-0000-00000D020000}"/>
    <cellStyle name="Comma 17 3 2 2 2 2 7" xfId="2699" xr:uid="{00000000-0005-0000-0000-00000E020000}"/>
    <cellStyle name="Comma 17 3 2 2 2 2 7 2" xfId="6004" xr:uid="{00000000-0005-0000-0000-00000F020000}"/>
    <cellStyle name="Comma 17 3 2 2 2 2 7 2 2" xfId="11318" xr:uid="{00000000-0005-0000-0000-000010020000}"/>
    <cellStyle name="Comma 17 3 2 2 2 2 7 3" xfId="8660" xr:uid="{00000000-0005-0000-0000-000011020000}"/>
    <cellStyle name="Comma 17 3 2 2 2 2 8" xfId="3873" xr:uid="{00000000-0005-0000-0000-000012020000}"/>
    <cellStyle name="Comma 17 3 2 2 2 2 8 2" xfId="9564" xr:uid="{00000000-0005-0000-0000-000013020000}"/>
    <cellStyle name="Comma 17 3 2 2 2 2 9" xfId="6906" xr:uid="{00000000-0005-0000-0000-000014020000}"/>
    <cellStyle name="Comma 17 3 2 2 2 3" xfId="838" xr:uid="{00000000-0005-0000-0000-000015020000}"/>
    <cellStyle name="Comma 17 3 2 2 2 3 2" xfId="1523" xr:uid="{00000000-0005-0000-0000-000016020000}"/>
    <cellStyle name="Comma 17 3 2 2 2 3 2 2" xfId="2445" xr:uid="{00000000-0005-0000-0000-000017020000}"/>
    <cellStyle name="Comma 17 3 2 2 2 3 2 2 2" xfId="5792" xr:uid="{00000000-0005-0000-0000-000018020000}"/>
    <cellStyle name="Comma 17 3 2 2 2 3 2 2 2 2" xfId="11106" xr:uid="{00000000-0005-0000-0000-000019020000}"/>
    <cellStyle name="Comma 17 3 2 2 2 3 2 2 3" xfId="8448" xr:uid="{00000000-0005-0000-0000-00001A020000}"/>
    <cellStyle name="Comma 17 3 2 2 2 3 2 3" xfId="3366" xr:uid="{00000000-0005-0000-0000-00001B020000}"/>
    <cellStyle name="Comma 17 3 2 2 2 3 2 3 2" xfId="6669" xr:uid="{00000000-0005-0000-0000-00001C020000}"/>
    <cellStyle name="Comma 17 3 2 2 2 3 2 3 2 2" xfId="11983" xr:uid="{00000000-0005-0000-0000-00001D020000}"/>
    <cellStyle name="Comma 17 3 2 2 2 3 2 3 3" xfId="9325" xr:uid="{00000000-0005-0000-0000-00001E020000}"/>
    <cellStyle name="Comma 17 3 2 2 2 3 2 4" xfId="4915" xr:uid="{00000000-0005-0000-0000-00001F020000}"/>
    <cellStyle name="Comma 17 3 2 2 2 3 2 4 2" xfId="10229" xr:uid="{00000000-0005-0000-0000-000020020000}"/>
    <cellStyle name="Comma 17 3 2 2 2 3 2 5" xfId="7571" xr:uid="{00000000-0005-0000-0000-000021020000}"/>
    <cellStyle name="Comma 17 3 2 2 2 3 3" xfId="2009" xr:uid="{00000000-0005-0000-0000-000022020000}"/>
    <cellStyle name="Comma 17 3 2 2 2 3 3 2" xfId="5356" xr:uid="{00000000-0005-0000-0000-000023020000}"/>
    <cellStyle name="Comma 17 3 2 2 2 3 3 2 2" xfId="10670" xr:uid="{00000000-0005-0000-0000-000024020000}"/>
    <cellStyle name="Comma 17 3 2 2 2 3 3 3" xfId="8012" xr:uid="{00000000-0005-0000-0000-000025020000}"/>
    <cellStyle name="Comma 17 3 2 2 2 3 4" xfId="2930" xr:uid="{00000000-0005-0000-0000-000026020000}"/>
    <cellStyle name="Comma 17 3 2 2 2 3 4 2" xfId="6233" xr:uid="{00000000-0005-0000-0000-000027020000}"/>
    <cellStyle name="Comma 17 3 2 2 2 3 4 2 2" xfId="11547" xr:uid="{00000000-0005-0000-0000-000028020000}"/>
    <cellStyle name="Comma 17 3 2 2 2 3 4 3" xfId="8889" xr:uid="{00000000-0005-0000-0000-000029020000}"/>
    <cellStyle name="Comma 17 3 2 2 2 3 5" xfId="4230" xr:uid="{00000000-0005-0000-0000-00002A020000}"/>
    <cellStyle name="Comma 17 3 2 2 2 3 5 2" xfId="9793" xr:uid="{00000000-0005-0000-0000-00002B020000}"/>
    <cellStyle name="Comma 17 3 2 2 2 3 6" xfId="7135" xr:uid="{00000000-0005-0000-0000-00002C020000}"/>
    <cellStyle name="Comma 17 3 2 2 2 4" xfId="627" xr:uid="{00000000-0005-0000-0000-00002D020000}"/>
    <cellStyle name="Comma 17 3 2 2 2 4 2" xfId="1314" xr:uid="{00000000-0005-0000-0000-00002E020000}"/>
    <cellStyle name="Comma 17 3 2 2 2 4 2 2" xfId="2304" xr:uid="{00000000-0005-0000-0000-00002F020000}"/>
    <cellStyle name="Comma 17 3 2 2 2 4 2 2 2" xfId="5651" xr:uid="{00000000-0005-0000-0000-000030020000}"/>
    <cellStyle name="Comma 17 3 2 2 2 4 2 2 2 2" xfId="10965" xr:uid="{00000000-0005-0000-0000-000031020000}"/>
    <cellStyle name="Comma 17 3 2 2 2 4 2 2 3" xfId="8307" xr:uid="{00000000-0005-0000-0000-000032020000}"/>
    <cellStyle name="Comma 17 3 2 2 2 4 2 3" xfId="3225" xr:uid="{00000000-0005-0000-0000-000033020000}"/>
    <cellStyle name="Comma 17 3 2 2 2 4 2 3 2" xfId="6528" xr:uid="{00000000-0005-0000-0000-000034020000}"/>
    <cellStyle name="Comma 17 3 2 2 2 4 2 3 2 2" xfId="11842" xr:uid="{00000000-0005-0000-0000-000035020000}"/>
    <cellStyle name="Comma 17 3 2 2 2 4 2 3 3" xfId="9184" xr:uid="{00000000-0005-0000-0000-000036020000}"/>
    <cellStyle name="Comma 17 3 2 2 2 4 2 4" xfId="4706" xr:uid="{00000000-0005-0000-0000-000037020000}"/>
    <cellStyle name="Comma 17 3 2 2 2 4 2 4 2" xfId="10088" xr:uid="{00000000-0005-0000-0000-000038020000}"/>
    <cellStyle name="Comma 17 3 2 2 2 4 2 5" xfId="7430" xr:uid="{00000000-0005-0000-0000-000039020000}"/>
    <cellStyle name="Comma 17 3 2 2 2 4 3" xfId="1866" xr:uid="{00000000-0005-0000-0000-00003A020000}"/>
    <cellStyle name="Comma 17 3 2 2 2 4 3 2" xfId="5215" xr:uid="{00000000-0005-0000-0000-00003B020000}"/>
    <cellStyle name="Comma 17 3 2 2 2 4 3 2 2" xfId="10529" xr:uid="{00000000-0005-0000-0000-00003C020000}"/>
    <cellStyle name="Comma 17 3 2 2 2 4 3 3" xfId="7871" xr:uid="{00000000-0005-0000-0000-00003D020000}"/>
    <cellStyle name="Comma 17 3 2 2 2 4 4" xfId="2787" xr:uid="{00000000-0005-0000-0000-00003E020000}"/>
    <cellStyle name="Comma 17 3 2 2 2 4 4 2" xfId="6092" xr:uid="{00000000-0005-0000-0000-00003F020000}"/>
    <cellStyle name="Comma 17 3 2 2 2 4 4 2 2" xfId="11406" xr:uid="{00000000-0005-0000-0000-000040020000}"/>
    <cellStyle name="Comma 17 3 2 2 2 4 4 3" xfId="8748" xr:uid="{00000000-0005-0000-0000-000041020000}"/>
    <cellStyle name="Comma 17 3 2 2 2 4 5" xfId="4021" xr:uid="{00000000-0005-0000-0000-000042020000}"/>
    <cellStyle name="Comma 17 3 2 2 2 4 5 2" xfId="9652" xr:uid="{00000000-0005-0000-0000-000043020000}"/>
    <cellStyle name="Comma 17 3 2 2 2 4 6" xfId="6994" xr:uid="{00000000-0005-0000-0000-000044020000}"/>
    <cellStyle name="Comma 17 3 2 2 2 5" xfId="992" xr:uid="{00000000-0005-0000-0000-000045020000}"/>
    <cellStyle name="Comma 17 3 2 2 2 5 2" xfId="2104" xr:uid="{00000000-0005-0000-0000-000046020000}"/>
    <cellStyle name="Comma 17 3 2 2 2 5 2 2" xfId="5451" xr:uid="{00000000-0005-0000-0000-000047020000}"/>
    <cellStyle name="Comma 17 3 2 2 2 5 2 2 2" xfId="10765" xr:uid="{00000000-0005-0000-0000-000048020000}"/>
    <cellStyle name="Comma 17 3 2 2 2 5 2 3" xfId="8107" xr:uid="{00000000-0005-0000-0000-000049020000}"/>
    <cellStyle name="Comma 17 3 2 2 2 5 3" xfId="3025" xr:uid="{00000000-0005-0000-0000-00004A020000}"/>
    <cellStyle name="Comma 17 3 2 2 2 5 3 2" xfId="6328" xr:uid="{00000000-0005-0000-0000-00004B020000}"/>
    <cellStyle name="Comma 17 3 2 2 2 5 3 2 2" xfId="11642" xr:uid="{00000000-0005-0000-0000-00004C020000}"/>
    <cellStyle name="Comma 17 3 2 2 2 5 3 3" xfId="8984" xr:uid="{00000000-0005-0000-0000-00004D020000}"/>
    <cellStyle name="Comma 17 3 2 2 2 5 4" xfId="4384" xr:uid="{00000000-0005-0000-0000-00004E020000}"/>
    <cellStyle name="Comma 17 3 2 2 2 5 4 2" xfId="9888" xr:uid="{00000000-0005-0000-0000-00004F020000}"/>
    <cellStyle name="Comma 17 3 2 2 2 5 5" xfId="7230" xr:uid="{00000000-0005-0000-0000-000050020000}"/>
    <cellStyle name="Comma 17 3 2 2 2 6" xfId="1666" xr:uid="{00000000-0005-0000-0000-000051020000}"/>
    <cellStyle name="Comma 17 3 2 2 2 6 2" xfId="5015" xr:uid="{00000000-0005-0000-0000-000052020000}"/>
    <cellStyle name="Comma 17 3 2 2 2 6 2 2" xfId="10329" xr:uid="{00000000-0005-0000-0000-000053020000}"/>
    <cellStyle name="Comma 17 3 2 2 2 6 3" xfId="7671" xr:uid="{00000000-0005-0000-0000-000054020000}"/>
    <cellStyle name="Comma 17 3 2 2 2 7" xfId="2587" xr:uid="{00000000-0005-0000-0000-000055020000}"/>
    <cellStyle name="Comma 17 3 2 2 2 7 2" xfId="5892" xr:uid="{00000000-0005-0000-0000-000056020000}"/>
    <cellStyle name="Comma 17 3 2 2 2 7 2 2" xfId="11206" xr:uid="{00000000-0005-0000-0000-000057020000}"/>
    <cellStyle name="Comma 17 3 2 2 2 7 3" xfId="8548" xr:uid="{00000000-0005-0000-0000-000058020000}"/>
    <cellStyle name="Comma 17 3 2 2 2 8" xfId="3699" xr:uid="{00000000-0005-0000-0000-000059020000}"/>
    <cellStyle name="Comma 17 3 2 2 2 8 2" xfId="9452" xr:uid="{00000000-0005-0000-0000-00005A020000}"/>
    <cellStyle name="Comma 17 3 2 2 2 9" xfId="6794" xr:uid="{00000000-0005-0000-0000-00005B020000}"/>
    <cellStyle name="Comma 17 3 2 2 3" xfId="429" xr:uid="{00000000-0005-0000-0000-00005C020000}"/>
    <cellStyle name="Comma 17 3 2 2 3 2" xfId="752" xr:uid="{00000000-0005-0000-0000-00005D020000}"/>
    <cellStyle name="Comma 17 3 2 2 3 2 2" xfId="1439" xr:uid="{00000000-0005-0000-0000-00005E020000}"/>
    <cellStyle name="Comma 17 3 2 2 3 2 2 2" xfId="2371" xr:uid="{00000000-0005-0000-0000-00005F020000}"/>
    <cellStyle name="Comma 17 3 2 2 3 2 2 2 2" xfId="5718" xr:uid="{00000000-0005-0000-0000-000060020000}"/>
    <cellStyle name="Comma 17 3 2 2 3 2 2 2 2 2" xfId="11032" xr:uid="{00000000-0005-0000-0000-000061020000}"/>
    <cellStyle name="Comma 17 3 2 2 3 2 2 2 3" xfId="8374" xr:uid="{00000000-0005-0000-0000-000062020000}"/>
    <cellStyle name="Comma 17 3 2 2 3 2 2 3" xfId="3292" xr:uid="{00000000-0005-0000-0000-000063020000}"/>
    <cellStyle name="Comma 17 3 2 2 3 2 2 3 2" xfId="6595" xr:uid="{00000000-0005-0000-0000-000064020000}"/>
    <cellStyle name="Comma 17 3 2 2 3 2 2 3 2 2" xfId="11909" xr:uid="{00000000-0005-0000-0000-000065020000}"/>
    <cellStyle name="Comma 17 3 2 2 3 2 2 3 3" xfId="9251" xr:uid="{00000000-0005-0000-0000-000066020000}"/>
    <cellStyle name="Comma 17 3 2 2 3 2 2 4" xfId="4831" xr:uid="{00000000-0005-0000-0000-000067020000}"/>
    <cellStyle name="Comma 17 3 2 2 3 2 2 4 2" xfId="10155" xr:uid="{00000000-0005-0000-0000-000068020000}"/>
    <cellStyle name="Comma 17 3 2 2 3 2 2 5" xfId="7497" xr:uid="{00000000-0005-0000-0000-000069020000}"/>
    <cellStyle name="Comma 17 3 2 2 3 2 3" xfId="1933" xr:uid="{00000000-0005-0000-0000-00006A020000}"/>
    <cellStyle name="Comma 17 3 2 2 3 2 3 2" xfId="5282" xr:uid="{00000000-0005-0000-0000-00006B020000}"/>
    <cellStyle name="Comma 17 3 2 2 3 2 3 2 2" xfId="10596" xr:uid="{00000000-0005-0000-0000-00006C020000}"/>
    <cellStyle name="Comma 17 3 2 2 3 2 3 3" xfId="7938" xr:uid="{00000000-0005-0000-0000-00006D020000}"/>
    <cellStyle name="Comma 17 3 2 2 3 2 4" xfId="2854" xr:uid="{00000000-0005-0000-0000-00006E020000}"/>
    <cellStyle name="Comma 17 3 2 2 3 2 4 2" xfId="6159" xr:uid="{00000000-0005-0000-0000-00006F020000}"/>
    <cellStyle name="Comma 17 3 2 2 3 2 4 2 2" xfId="11473" xr:uid="{00000000-0005-0000-0000-000070020000}"/>
    <cellStyle name="Comma 17 3 2 2 3 2 4 3" xfId="8815" xr:uid="{00000000-0005-0000-0000-000071020000}"/>
    <cellStyle name="Comma 17 3 2 2 3 2 5" xfId="4146" xr:uid="{00000000-0005-0000-0000-000072020000}"/>
    <cellStyle name="Comma 17 3 2 2 3 2 5 2" xfId="9719" xr:uid="{00000000-0005-0000-0000-000073020000}"/>
    <cellStyle name="Comma 17 3 2 2 3 2 6" xfId="7061" xr:uid="{00000000-0005-0000-0000-000074020000}"/>
    <cellStyle name="Comma 17 3 2 2 3 3" xfId="1117" xr:uid="{00000000-0005-0000-0000-000075020000}"/>
    <cellStyle name="Comma 17 3 2 2 3 3 2" xfId="2171" xr:uid="{00000000-0005-0000-0000-000076020000}"/>
    <cellStyle name="Comma 17 3 2 2 3 3 2 2" xfId="5518" xr:uid="{00000000-0005-0000-0000-000077020000}"/>
    <cellStyle name="Comma 17 3 2 2 3 3 2 2 2" xfId="10832" xr:uid="{00000000-0005-0000-0000-000078020000}"/>
    <cellStyle name="Comma 17 3 2 2 3 3 2 3" xfId="8174" xr:uid="{00000000-0005-0000-0000-000079020000}"/>
    <cellStyle name="Comma 17 3 2 2 3 3 3" xfId="3092" xr:uid="{00000000-0005-0000-0000-00007A020000}"/>
    <cellStyle name="Comma 17 3 2 2 3 3 3 2" xfId="6395" xr:uid="{00000000-0005-0000-0000-00007B020000}"/>
    <cellStyle name="Comma 17 3 2 2 3 3 3 2 2" xfId="11709" xr:uid="{00000000-0005-0000-0000-00007C020000}"/>
    <cellStyle name="Comma 17 3 2 2 3 3 3 3" xfId="9051" xr:uid="{00000000-0005-0000-0000-00007D020000}"/>
    <cellStyle name="Comma 17 3 2 2 3 3 4" xfId="4509" xr:uid="{00000000-0005-0000-0000-00007E020000}"/>
    <cellStyle name="Comma 17 3 2 2 3 3 4 2" xfId="9955" xr:uid="{00000000-0005-0000-0000-00007F020000}"/>
    <cellStyle name="Comma 17 3 2 2 3 3 5" xfId="7297" xr:uid="{00000000-0005-0000-0000-000080020000}"/>
    <cellStyle name="Comma 17 3 2 2 3 4" xfId="1733" xr:uid="{00000000-0005-0000-0000-000081020000}"/>
    <cellStyle name="Comma 17 3 2 2 3 4 2" xfId="5082" xr:uid="{00000000-0005-0000-0000-000082020000}"/>
    <cellStyle name="Comma 17 3 2 2 3 4 2 2" xfId="10396" xr:uid="{00000000-0005-0000-0000-000083020000}"/>
    <cellStyle name="Comma 17 3 2 2 3 4 3" xfId="7738" xr:uid="{00000000-0005-0000-0000-000084020000}"/>
    <cellStyle name="Comma 17 3 2 2 3 5" xfId="2654" xr:uid="{00000000-0005-0000-0000-000085020000}"/>
    <cellStyle name="Comma 17 3 2 2 3 5 2" xfId="5959" xr:uid="{00000000-0005-0000-0000-000086020000}"/>
    <cellStyle name="Comma 17 3 2 2 3 5 2 2" xfId="11273" xr:uid="{00000000-0005-0000-0000-000087020000}"/>
    <cellStyle name="Comma 17 3 2 2 3 5 3" xfId="8615" xr:uid="{00000000-0005-0000-0000-000088020000}"/>
    <cellStyle name="Comma 17 3 2 2 3 6" xfId="3824" xr:uid="{00000000-0005-0000-0000-000089020000}"/>
    <cellStyle name="Comma 17 3 2 2 3 6 2" xfId="9519" xr:uid="{00000000-0005-0000-0000-00008A020000}"/>
    <cellStyle name="Comma 17 3 2 2 3 7" xfId="6861" xr:uid="{00000000-0005-0000-0000-00008B020000}"/>
    <cellStyle name="Comma 17 3 2 2 4" xfId="461" xr:uid="{00000000-0005-0000-0000-00008C020000}"/>
    <cellStyle name="Comma 17 3 2 2 4 2" xfId="473" xr:uid="{00000000-0005-0000-0000-00008D020000}"/>
    <cellStyle name="Comma 17 3 2 2 4 2 2" xfId="810" xr:uid="{00000000-0005-0000-0000-00008E020000}"/>
    <cellStyle name="Comma 17 3 2 2 4 2 2 2" xfId="1496" xr:uid="{00000000-0005-0000-0000-00008F020000}"/>
    <cellStyle name="Comma 17 3 2 2 4 2 2 2 2" xfId="2422" xr:uid="{00000000-0005-0000-0000-000090020000}"/>
    <cellStyle name="Comma 17 3 2 2 4 2 2 2 2 2" xfId="5769" xr:uid="{00000000-0005-0000-0000-000091020000}"/>
    <cellStyle name="Comma 17 3 2 2 4 2 2 2 2 2 2" xfId="11083" xr:uid="{00000000-0005-0000-0000-000092020000}"/>
    <cellStyle name="Comma 17 3 2 2 4 2 2 2 2 3" xfId="8425" xr:uid="{00000000-0005-0000-0000-000093020000}"/>
    <cellStyle name="Comma 17 3 2 2 4 2 2 2 3" xfId="3343" xr:uid="{00000000-0005-0000-0000-000094020000}"/>
    <cellStyle name="Comma 17 3 2 2 4 2 2 2 3 2" xfId="6646" xr:uid="{00000000-0005-0000-0000-000095020000}"/>
    <cellStyle name="Comma 17 3 2 2 4 2 2 2 3 2 2" xfId="11960" xr:uid="{00000000-0005-0000-0000-000096020000}"/>
    <cellStyle name="Comma 17 3 2 2 4 2 2 2 3 3" xfId="9302" xr:uid="{00000000-0005-0000-0000-000097020000}"/>
    <cellStyle name="Comma 17 3 2 2 4 2 2 2 4" xfId="4888" xr:uid="{00000000-0005-0000-0000-000098020000}"/>
    <cellStyle name="Comma 17 3 2 2 4 2 2 2 4 2" xfId="10206" xr:uid="{00000000-0005-0000-0000-000099020000}"/>
    <cellStyle name="Comma 17 3 2 2 4 2 2 2 5" xfId="7548" xr:uid="{00000000-0005-0000-0000-00009A020000}"/>
    <cellStyle name="Comma 17 3 2 2 4 2 2 3" xfId="1985" xr:uid="{00000000-0005-0000-0000-00009B020000}"/>
    <cellStyle name="Comma 17 3 2 2 4 2 2 3 2" xfId="5333" xr:uid="{00000000-0005-0000-0000-00009C020000}"/>
    <cellStyle name="Comma 17 3 2 2 4 2 2 3 2 2" xfId="10647" xr:uid="{00000000-0005-0000-0000-00009D020000}"/>
    <cellStyle name="Comma 17 3 2 2 4 2 2 3 3" xfId="7989" xr:uid="{00000000-0005-0000-0000-00009E020000}"/>
    <cellStyle name="Comma 17 3 2 2 4 2 2 4" xfId="2906" xr:uid="{00000000-0005-0000-0000-00009F020000}"/>
    <cellStyle name="Comma 17 3 2 2 4 2 2 4 2" xfId="6210" xr:uid="{00000000-0005-0000-0000-0000A0020000}"/>
    <cellStyle name="Comma 17 3 2 2 4 2 2 4 2 2" xfId="11524" xr:uid="{00000000-0005-0000-0000-0000A1020000}"/>
    <cellStyle name="Comma 17 3 2 2 4 2 2 4 3" xfId="8866" xr:uid="{00000000-0005-0000-0000-0000A2020000}"/>
    <cellStyle name="Comma 17 3 2 2 4 2 2 5" xfId="4203" xr:uid="{00000000-0005-0000-0000-0000A3020000}"/>
    <cellStyle name="Comma 17 3 2 2 4 2 2 5 2" xfId="9770" xr:uid="{00000000-0005-0000-0000-0000A4020000}"/>
    <cellStyle name="Comma 17 3 2 2 4 2 2 6" xfId="7112" xr:uid="{00000000-0005-0000-0000-0000A5020000}"/>
    <cellStyle name="Comma 17 3 2 2 4 2 3" xfId="833" xr:uid="{00000000-0005-0000-0000-0000A6020000}"/>
    <cellStyle name="Comma 17 3 2 2 4 2 3 2" xfId="1518" xr:uid="{00000000-0005-0000-0000-0000A7020000}"/>
    <cellStyle name="Comma 17 3 2 2 4 2 3 2 2" xfId="2440" xr:uid="{00000000-0005-0000-0000-0000A8020000}"/>
    <cellStyle name="Comma 17 3 2 2 4 2 3 2 2 2" xfId="5787" xr:uid="{00000000-0005-0000-0000-0000A9020000}"/>
    <cellStyle name="Comma 17 3 2 2 4 2 3 2 2 2 2" xfId="11101" xr:uid="{00000000-0005-0000-0000-0000AA020000}"/>
    <cellStyle name="Comma 17 3 2 2 4 2 3 2 2 3" xfId="8443" xr:uid="{00000000-0005-0000-0000-0000AB020000}"/>
    <cellStyle name="Comma 17 3 2 2 4 2 3 2 3" xfId="3361" xr:uid="{00000000-0005-0000-0000-0000AC020000}"/>
    <cellStyle name="Comma 17 3 2 2 4 2 3 2 3 2" xfId="6664" xr:uid="{00000000-0005-0000-0000-0000AD020000}"/>
    <cellStyle name="Comma 17 3 2 2 4 2 3 2 3 2 2" xfId="11978" xr:uid="{00000000-0005-0000-0000-0000AE020000}"/>
    <cellStyle name="Comma 17 3 2 2 4 2 3 2 3 3" xfId="9320" xr:uid="{00000000-0005-0000-0000-0000AF020000}"/>
    <cellStyle name="Comma 17 3 2 2 4 2 3 2 4" xfId="4910" xr:uid="{00000000-0005-0000-0000-0000B0020000}"/>
    <cellStyle name="Comma 17 3 2 2 4 2 3 2 4 2" xfId="10224" xr:uid="{00000000-0005-0000-0000-0000B1020000}"/>
    <cellStyle name="Comma 17 3 2 2 4 2 3 2 5" xfId="7566" xr:uid="{00000000-0005-0000-0000-0000B2020000}"/>
    <cellStyle name="Comma 17 3 2 2 4 2 3 3" xfId="2004" xr:uid="{00000000-0005-0000-0000-0000B3020000}"/>
    <cellStyle name="Comma 17 3 2 2 4 2 3 3 2" xfId="5351" xr:uid="{00000000-0005-0000-0000-0000B4020000}"/>
    <cellStyle name="Comma 17 3 2 2 4 2 3 3 2 2" xfId="10665" xr:uid="{00000000-0005-0000-0000-0000B5020000}"/>
    <cellStyle name="Comma 17 3 2 2 4 2 3 3 3" xfId="8007" xr:uid="{00000000-0005-0000-0000-0000B6020000}"/>
    <cellStyle name="Comma 17 3 2 2 4 2 3 4" xfId="2925" xr:uid="{00000000-0005-0000-0000-0000B7020000}"/>
    <cellStyle name="Comma 17 3 2 2 4 2 3 4 2" xfId="6228" xr:uid="{00000000-0005-0000-0000-0000B8020000}"/>
    <cellStyle name="Comma 17 3 2 2 4 2 3 4 2 2" xfId="11542" xr:uid="{00000000-0005-0000-0000-0000B9020000}"/>
    <cellStyle name="Comma 17 3 2 2 4 2 3 4 3" xfId="8884" xr:uid="{00000000-0005-0000-0000-0000BA020000}"/>
    <cellStyle name="Comma 17 3 2 2 4 2 3 5" xfId="4225" xr:uid="{00000000-0005-0000-0000-0000BB020000}"/>
    <cellStyle name="Comma 17 3 2 2 4 2 3 5 2" xfId="9788" xr:uid="{00000000-0005-0000-0000-0000BC020000}"/>
    <cellStyle name="Comma 17 3 2 2 4 2 3 6" xfId="7130" xr:uid="{00000000-0005-0000-0000-0000BD020000}"/>
    <cellStyle name="Comma 17 3 2 2 4 2 4" xfId="795" xr:uid="{00000000-0005-0000-0000-0000BE020000}"/>
    <cellStyle name="Comma 17 3 2 2 4 2 4 2" xfId="1482" xr:uid="{00000000-0005-0000-0000-0000BF020000}"/>
    <cellStyle name="Comma 17 3 2 2 4 2 4 2 2" xfId="2410" xr:uid="{00000000-0005-0000-0000-0000C0020000}"/>
    <cellStyle name="Comma 17 3 2 2 4 2 4 2 2 2" xfId="5757" xr:uid="{00000000-0005-0000-0000-0000C1020000}"/>
    <cellStyle name="Comma 17 3 2 2 4 2 4 2 2 2 2" xfId="11071" xr:uid="{00000000-0005-0000-0000-0000C2020000}"/>
    <cellStyle name="Comma 17 3 2 2 4 2 4 2 2 3" xfId="8413" xr:uid="{00000000-0005-0000-0000-0000C3020000}"/>
    <cellStyle name="Comma 17 3 2 2 4 2 4 2 3" xfId="3331" xr:uid="{00000000-0005-0000-0000-0000C4020000}"/>
    <cellStyle name="Comma 17 3 2 2 4 2 4 2 3 2" xfId="6634" xr:uid="{00000000-0005-0000-0000-0000C5020000}"/>
    <cellStyle name="Comma 17 3 2 2 4 2 4 2 3 2 2" xfId="11948" xr:uid="{00000000-0005-0000-0000-0000C6020000}"/>
    <cellStyle name="Comma 17 3 2 2 4 2 4 2 3 3" xfId="9290" xr:uid="{00000000-0005-0000-0000-0000C7020000}"/>
    <cellStyle name="Comma 17 3 2 2 4 2 4 2 4" xfId="4874" xr:uid="{00000000-0005-0000-0000-0000C8020000}"/>
    <cellStyle name="Comma 17 3 2 2 4 2 4 2 4 2" xfId="10194" xr:uid="{00000000-0005-0000-0000-0000C9020000}"/>
    <cellStyle name="Comma 17 3 2 2 4 2 4 2 5" xfId="7536" xr:uid="{00000000-0005-0000-0000-0000CA020000}"/>
    <cellStyle name="Comma 17 3 2 2 4 2 4 3" xfId="1972" xr:uid="{00000000-0005-0000-0000-0000CB020000}"/>
    <cellStyle name="Comma 17 3 2 2 4 2 4 3 2" xfId="5321" xr:uid="{00000000-0005-0000-0000-0000CC020000}"/>
    <cellStyle name="Comma 17 3 2 2 4 2 4 3 2 2" xfId="10635" xr:uid="{00000000-0005-0000-0000-0000CD020000}"/>
    <cellStyle name="Comma 17 3 2 2 4 2 4 3 3" xfId="7977" xr:uid="{00000000-0005-0000-0000-0000CE020000}"/>
    <cellStyle name="Comma 17 3 2 2 4 2 4 4" xfId="2893" xr:uid="{00000000-0005-0000-0000-0000CF020000}"/>
    <cellStyle name="Comma 17 3 2 2 4 2 4 4 2" xfId="6198" xr:uid="{00000000-0005-0000-0000-0000D0020000}"/>
    <cellStyle name="Comma 17 3 2 2 4 2 4 4 2 2" xfId="11512" xr:uid="{00000000-0005-0000-0000-0000D1020000}"/>
    <cellStyle name="Comma 17 3 2 2 4 2 4 4 3" xfId="8854" xr:uid="{00000000-0005-0000-0000-0000D2020000}"/>
    <cellStyle name="Comma 17 3 2 2 4 2 4 5" xfId="4189" xr:uid="{00000000-0005-0000-0000-0000D3020000}"/>
    <cellStyle name="Comma 17 3 2 2 4 2 4 5 2" xfId="9758" xr:uid="{00000000-0005-0000-0000-0000D4020000}"/>
    <cellStyle name="Comma 17 3 2 2 4 2 4 6" xfId="7100" xr:uid="{00000000-0005-0000-0000-0000D5020000}"/>
    <cellStyle name="Comma 17 3 2 2 4 2 5" xfId="1160" xr:uid="{00000000-0005-0000-0000-0000D6020000}"/>
    <cellStyle name="Comma 17 3 2 2 4 2 5 2" xfId="2210" xr:uid="{00000000-0005-0000-0000-0000D7020000}"/>
    <cellStyle name="Comma 17 3 2 2 4 2 5 2 2" xfId="5557" xr:uid="{00000000-0005-0000-0000-0000D8020000}"/>
    <cellStyle name="Comma 17 3 2 2 4 2 5 2 2 2" xfId="10871" xr:uid="{00000000-0005-0000-0000-0000D9020000}"/>
    <cellStyle name="Comma 17 3 2 2 4 2 5 2 3" xfId="8213" xr:uid="{00000000-0005-0000-0000-0000DA020000}"/>
    <cellStyle name="Comma 17 3 2 2 4 2 5 3" xfId="3131" xr:uid="{00000000-0005-0000-0000-0000DB020000}"/>
    <cellStyle name="Comma 17 3 2 2 4 2 5 3 2" xfId="6434" xr:uid="{00000000-0005-0000-0000-0000DC020000}"/>
    <cellStyle name="Comma 17 3 2 2 4 2 5 3 2 2" xfId="11748" xr:uid="{00000000-0005-0000-0000-0000DD020000}"/>
    <cellStyle name="Comma 17 3 2 2 4 2 5 3 3" xfId="9090" xr:uid="{00000000-0005-0000-0000-0000DE020000}"/>
    <cellStyle name="Comma 17 3 2 2 4 2 5 4" xfId="4552" xr:uid="{00000000-0005-0000-0000-0000DF020000}"/>
    <cellStyle name="Comma 17 3 2 2 4 2 5 4 2" xfId="9994" xr:uid="{00000000-0005-0000-0000-0000E0020000}"/>
    <cellStyle name="Comma 17 3 2 2 4 2 5 5" xfId="7336" xr:uid="{00000000-0005-0000-0000-0000E1020000}"/>
    <cellStyle name="Comma 17 3 2 2 4 2 6" xfId="1772" xr:uid="{00000000-0005-0000-0000-0000E2020000}"/>
    <cellStyle name="Comma 17 3 2 2 4 2 6 2" xfId="5121" xr:uid="{00000000-0005-0000-0000-0000E3020000}"/>
    <cellStyle name="Comma 17 3 2 2 4 2 6 2 2" xfId="10435" xr:uid="{00000000-0005-0000-0000-0000E4020000}"/>
    <cellStyle name="Comma 17 3 2 2 4 2 6 3" xfId="7777" xr:uid="{00000000-0005-0000-0000-0000E5020000}"/>
    <cellStyle name="Comma 17 3 2 2 4 2 7" xfId="2693" xr:uid="{00000000-0005-0000-0000-0000E6020000}"/>
    <cellStyle name="Comma 17 3 2 2 4 2 7 2" xfId="5998" xr:uid="{00000000-0005-0000-0000-0000E7020000}"/>
    <cellStyle name="Comma 17 3 2 2 4 2 7 2 2" xfId="11312" xr:uid="{00000000-0005-0000-0000-0000E8020000}"/>
    <cellStyle name="Comma 17 3 2 2 4 2 7 3" xfId="8654" xr:uid="{00000000-0005-0000-0000-0000E9020000}"/>
    <cellStyle name="Comma 17 3 2 2 4 2 8" xfId="3867" xr:uid="{00000000-0005-0000-0000-0000EA020000}"/>
    <cellStyle name="Comma 17 3 2 2 4 2 8 2" xfId="9558" xr:uid="{00000000-0005-0000-0000-0000EB020000}"/>
    <cellStyle name="Comma 17 3 2 2 4 2 9" xfId="6900" xr:uid="{00000000-0005-0000-0000-0000EC020000}"/>
    <cellStyle name="Comma 17 3 2 2 4 3" xfId="783" xr:uid="{00000000-0005-0000-0000-0000ED020000}"/>
    <cellStyle name="Comma 17 3 2 2 4 3 2" xfId="1470" xr:uid="{00000000-0005-0000-0000-0000EE020000}"/>
    <cellStyle name="Comma 17 3 2 2 4 3 2 2" xfId="2398" xr:uid="{00000000-0005-0000-0000-0000EF020000}"/>
    <cellStyle name="Comma 17 3 2 2 4 3 2 2 2" xfId="5745" xr:uid="{00000000-0005-0000-0000-0000F0020000}"/>
    <cellStyle name="Comma 17 3 2 2 4 3 2 2 2 2" xfId="11059" xr:uid="{00000000-0005-0000-0000-0000F1020000}"/>
    <cellStyle name="Comma 17 3 2 2 4 3 2 2 3" xfId="8401" xr:uid="{00000000-0005-0000-0000-0000F2020000}"/>
    <cellStyle name="Comma 17 3 2 2 4 3 2 3" xfId="3319" xr:uid="{00000000-0005-0000-0000-0000F3020000}"/>
    <cellStyle name="Comma 17 3 2 2 4 3 2 3 2" xfId="6622" xr:uid="{00000000-0005-0000-0000-0000F4020000}"/>
    <cellStyle name="Comma 17 3 2 2 4 3 2 3 2 2" xfId="11936" xr:uid="{00000000-0005-0000-0000-0000F5020000}"/>
    <cellStyle name="Comma 17 3 2 2 4 3 2 3 3" xfId="9278" xr:uid="{00000000-0005-0000-0000-0000F6020000}"/>
    <cellStyle name="Comma 17 3 2 2 4 3 2 4" xfId="4862" xr:uid="{00000000-0005-0000-0000-0000F7020000}"/>
    <cellStyle name="Comma 17 3 2 2 4 3 2 4 2" xfId="10182" xr:uid="{00000000-0005-0000-0000-0000F8020000}"/>
    <cellStyle name="Comma 17 3 2 2 4 3 2 5" xfId="7524" xr:uid="{00000000-0005-0000-0000-0000F9020000}"/>
    <cellStyle name="Comma 17 3 2 2 4 3 3" xfId="1960" xr:uid="{00000000-0005-0000-0000-0000FA020000}"/>
    <cellStyle name="Comma 17 3 2 2 4 3 3 2" xfId="5309" xr:uid="{00000000-0005-0000-0000-0000FB020000}"/>
    <cellStyle name="Comma 17 3 2 2 4 3 3 2 2" xfId="10623" xr:uid="{00000000-0005-0000-0000-0000FC020000}"/>
    <cellStyle name="Comma 17 3 2 2 4 3 3 3" xfId="7965" xr:uid="{00000000-0005-0000-0000-0000FD020000}"/>
    <cellStyle name="Comma 17 3 2 2 4 3 4" xfId="2881" xr:uid="{00000000-0005-0000-0000-0000FE020000}"/>
    <cellStyle name="Comma 17 3 2 2 4 3 4 2" xfId="6186" xr:uid="{00000000-0005-0000-0000-0000FF020000}"/>
    <cellStyle name="Comma 17 3 2 2 4 3 4 2 2" xfId="11500" xr:uid="{00000000-0005-0000-0000-000000030000}"/>
    <cellStyle name="Comma 17 3 2 2 4 3 4 3" xfId="8842" xr:uid="{00000000-0005-0000-0000-000001030000}"/>
    <cellStyle name="Comma 17 3 2 2 4 3 5" xfId="4177" xr:uid="{00000000-0005-0000-0000-000002030000}"/>
    <cellStyle name="Comma 17 3 2 2 4 3 5 2" xfId="9746" xr:uid="{00000000-0005-0000-0000-000003030000}"/>
    <cellStyle name="Comma 17 3 2 2 4 3 6" xfId="7088" xr:uid="{00000000-0005-0000-0000-000004030000}"/>
    <cellStyle name="Comma 17 3 2 2 4 4" xfId="1148" xr:uid="{00000000-0005-0000-0000-000005030000}"/>
    <cellStyle name="Comma 17 3 2 2 4 4 2" xfId="2198" xr:uid="{00000000-0005-0000-0000-000006030000}"/>
    <cellStyle name="Comma 17 3 2 2 4 4 2 2" xfId="5545" xr:uid="{00000000-0005-0000-0000-000007030000}"/>
    <cellStyle name="Comma 17 3 2 2 4 4 2 2 2" xfId="10859" xr:uid="{00000000-0005-0000-0000-000008030000}"/>
    <cellStyle name="Comma 17 3 2 2 4 4 2 3" xfId="8201" xr:uid="{00000000-0005-0000-0000-000009030000}"/>
    <cellStyle name="Comma 17 3 2 2 4 4 3" xfId="3119" xr:uid="{00000000-0005-0000-0000-00000A030000}"/>
    <cellStyle name="Comma 17 3 2 2 4 4 3 2" xfId="6422" xr:uid="{00000000-0005-0000-0000-00000B030000}"/>
    <cellStyle name="Comma 17 3 2 2 4 4 3 2 2" xfId="11736" xr:uid="{00000000-0005-0000-0000-00000C030000}"/>
    <cellStyle name="Comma 17 3 2 2 4 4 3 3" xfId="9078" xr:uid="{00000000-0005-0000-0000-00000D030000}"/>
    <cellStyle name="Comma 17 3 2 2 4 4 4" xfId="4540" xr:uid="{00000000-0005-0000-0000-00000E030000}"/>
    <cellStyle name="Comma 17 3 2 2 4 4 4 2" xfId="9982" xr:uid="{00000000-0005-0000-0000-00000F030000}"/>
    <cellStyle name="Comma 17 3 2 2 4 4 5" xfId="7324" xr:uid="{00000000-0005-0000-0000-000010030000}"/>
    <cellStyle name="Comma 17 3 2 2 4 5" xfId="1760" xr:uid="{00000000-0005-0000-0000-000011030000}"/>
    <cellStyle name="Comma 17 3 2 2 4 5 2" xfId="5109" xr:uid="{00000000-0005-0000-0000-000012030000}"/>
    <cellStyle name="Comma 17 3 2 2 4 5 2 2" xfId="10423" xr:uid="{00000000-0005-0000-0000-000013030000}"/>
    <cellStyle name="Comma 17 3 2 2 4 5 3" xfId="7765" xr:uid="{00000000-0005-0000-0000-000014030000}"/>
    <cellStyle name="Comma 17 3 2 2 4 6" xfId="2681" xr:uid="{00000000-0005-0000-0000-000015030000}"/>
    <cellStyle name="Comma 17 3 2 2 4 6 2" xfId="5986" xr:uid="{00000000-0005-0000-0000-000016030000}"/>
    <cellStyle name="Comma 17 3 2 2 4 6 2 2" xfId="11300" xr:uid="{00000000-0005-0000-0000-000017030000}"/>
    <cellStyle name="Comma 17 3 2 2 4 6 3" xfId="8642" xr:uid="{00000000-0005-0000-0000-000018030000}"/>
    <cellStyle name="Comma 17 3 2 2 4 7" xfId="3855" xr:uid="{00000000-0005-0000-0000-000019030000}"/>
    <cellStyle name="Comma 17 3 2 2 4 7 2" xfId="9546" xr:uid="{00000000-0005-0000-0000-00001A030000}"/>
    <cellStyle name="Comma 17 3 2 2 4 8" xfId="6888" xr:uid="{00000000-0005-0000-0000-00001B030000}"/>
    <cellStyle name="Comma 17 3 2 2 5" xfId="603" xr:uid="{00000000-0005-0000-0000-00001C030000}"/>
    <cellStyle name="Comma 17 3 2 2 5 2" xfId="482" xr:uid="{00000000-0005-0000-0000-00001D030000}"/>
    <cellStyle name="Comma 17 3 2 2 5 2 2" xfId="1169" xr:uid="{00000000-0005-0000-0000-00001E030000}"/>
    <cellStyle name="Comma 17 3 2 2 5 2 2 2" xfId="2218" xr:uid="{00000000-0005-0000-0000-00001F030000}"/>
    <cellStyle name="Comma 17 3 2 2 5 2 2 2 2" xfId="5565" xr:uid="{00000000-0005-0000-0000-000020030000}"/>
    <cellStyle name="Comma 17 3 2 2 5 2 2 2 2 2" xfId="10879" xr:uid="{00000000-0005-0000-0000-000021030000}"/>
    <cellStyle name="Comma 17 3 2 2 5 2 2 2 3" xfId="8221" xr:uid="{00000000-0005-0000-0000-000022030000}"/>
    <cellStyle name="Comma 17 3 2 2 5 2 2 3" xfId="3139" xr:uid="{00000000-0005-0000-0000-000023030000}"/>
    <cellStyle name="Comma 17 3 2 2 5 2 2 3 2" xfId="6442" xr:uid="{00000000-0005-0000-0000-000024030000}"/>
    <cellStyle name="Comma 17 3 2 2 5 2 2 3 2 2" xfId="11756" xr:uid="{00000000-0005-0000-0000-000025030000}"/>
    <cellStyle name="Comma 17 3 2 2 5 2 2 3 3" xfId="9098" xr:uid="{00000000-0005-0000-0000-000026030000}"/>
    <cellStyle name="Comma 17 3 2 2 5 2 2 4" xfId="4561" xr:uid="{00000000-0005-0000-0000-000027030000}"/>
    <cellStyle name="Comma 17 3 2 2 5 2 2 4 2" xfId="10002" xr:uid="{00000000-0005-0000-0000-000028030000}"/>
    <cellStyle name="Comma 17 3 2 2 5 2 2 5" xfId="7344" xr:uid="{00000000-0005-0000-0000-000029030000}"/>
    <cellStyle name="Comma 17 3 2 2 5 2 3" xfId="1780" xr:uid="{00000000-0005-0000-0000-00002A030000}"/>
    <cellStyle name="Comma 17 3 2 2 5 2 3 2" xfId="5129" xr:uid="{00000000-0005-0000-0000-00002B030000}"/>
    <cellStyle name="Comma 17 3 2 2 5 2 3 2 2" xfId="10443" xr:uid="{00000000-0005-0000-0000-00002C030000}"/>
    <cellStyle name="Comma 17 3 2 2 5 2 3 3" xfId="7785" xr:uid="{00000000-0005-0000-0000-00002D030000}"/>
    <cellStyle name="Comma 17 3 2 2 5 2 4" xfId="2701" xr:uid="{00000000-0005-0000-0000-00002E030000}"/>
    <cellStyle name="Comma 17 3 2 2 5 2 4 2" xfId="6006" xr:uid="{00000000-0005-0000-0000-00002F030000}"/>
    <cellStyle name="Comma 17 3 2 2 5 2 4 2 2" xfId="11320" xr:uid="{00000000-0005-0000-0000-000030030000}"/>
    <cellStyle name="Comma 17 3 2 2 5 2 4 3" xfId="8662" xr:uid="{00000000-0005-0000-0000-000031030000}"/>
    <cellStyle name="Comma 17 3 2 2 5 2 5" xfId="3876" xr:uid="{00000000-0005-0000-0000-000032030000}"/>
    <cellStyle name="Comma 17 3 2 2 5 2 5 2" xfId="9566" xr:uid="{00000000-0005-0000-0000-000033030000}"/>
    <cellStyle name="Comma 17 3 2 2 5 2 6" xfId="6908" xr:uid="{00000000-0005-0000-0000-000034030000}"/>
    <cellStyle name="Comma 17 3 2 2 5 3" xfId="1290" xr:uid="{00000000-0005-0000-0000-000035030000}"/>
    <cellStyle name="Comma 17 3 2 2 5 3 2" xfId="2282" xr:uid="{00000000-0005-0000-0000-000036030000}"/>
    <cellStyle name="Comma 17 3 2 2 5 3 2 2" xfId="5629" xr:uid="{00000000-0005-0000-0000-000037030000}"/>
    <cellStyle name="Comma 17 3 2 2 5 3 2 2 2" xfId="10943" xr:uid="{00000000-0005-0000-0000-000038030000}"/>
    <cellStyle name="Comma 17 3 2 2 5 3 2 3" xfId="8285" xr:uid="{00000000-0005-0000-0000-000039030000}"/>
    <cellStyle name="Comma 17 3 2 2 5 3 3" xfId="3203" xr:uid="{00000000-0005-0000-0000-00003A030000}"/>
    <cellStyle name="Comma 17 3 2 2 5 3 3 2" xfId="6506" xr:uid="{00000000-0005-0000-0000-00003B030000}"/>
    <cellStyle name="Comma 17 3 2 2 5 3 3 2 2" xfId="11820" xr:uid="{00000000-0005-0000-0000-00003C030000}"/>
    <cellStyle name="Comma 17 3 2 2 5 3 3 3" xfId="9162" xr:uid="{00000000-0005-0000-0000-00003D030000}"/>
    <cellStyle name="Comma 17 3 2 2 5 3 4" xfId="4682" xr:uid="{00000000-0005-0000-0000-00003E030000}"/>
    <cellStyle name="Comma 17 3 2 2 5 3 4 2" xfId="10066" xr:uid="{00000000-0005-0000-0000-00003F030000}"/>
    <cellStyle name="Comma 17 3 2 2 5 3 5" xfId="7408" xr:uid="{00000000-0005-0000-0000-000040030000}"/>
    <cellStyle name="Comma 17 3 2 2 5 4" xfId="1844" xr:uid="{00000000-0005-0000-0000-000041030000}"/>
    <cellStyle name="Comma 17 3 2 2 5 4 2" xfId="5193" xr:uid="{00000000-0005-0000-0000-000042030000}"/>
    <cellStyle name="Comma 17 3 2 2 5 4 2 2" xfId="10507" xr:uid="{00000000-0005-0000-0000-000043030000}"/>
    <cellStyle name="Comma 17 3 2 2 5 4 3" xfId="7849" xr:uid="{00000000-0005-0000-0000-000044030000}"/>
    <cellStyle name="Comma 17 3 2 2 5 5" xfId="2765" xr:uid="{00000000-0005-0000-0000-000045030000}"/>
    <cellStyle name="Comma 17 3 2 2 5 5 2" xfId="6070" xr:uid="{00000000-0005-0000-0000-000046030000}"/>
    <cellStyle name="Comma 17 3 2 2 5 5 2 2" xfId="11384" xr:uid="{00000000-0005-0000-0000-000047030000}"/>
    <cellStyle name="Comma 17 3 2 2 5 5 3" xfId="8726" xr:uid="{00000000-0005-0000-0000-000048030000}"/>
    <cellStyle name="Comma 17 3 2 2 5 6" xfId="3997" xr:uid="{00000000-0005-0000-0000-000049030000}"/>
    <cellStyle name="Comma 17 3 2 2 5 6 2" xfId="9630" xr:uid="{00000000-0005-0000-0000-00004A030000}"/>
    <cellStyle name="Comma 17 3 2 2 5 7" xfId="6972" xr:uid="{00000000-0005-0000-0000-00004B030000}"/>
    <cellStyle name="Comma 17 3 2 2 6" xfId="968" xr:uid="{00000000-0005-0000-0000-00004C030000}"/>
    <cellStyle name="Comma 17 3 2 2 6 2" xfId="2082" xr:uid="{00000000-0005-0000-0000-00004D030000}"/>
    <cellStyle name="Comma 17 3 2 2 6 2 2" xfId="5429" xr:uid="{00000000-0005-0000-0000-00004E030000}"/>
    <cellStyle name="Comma 17 3 2 2 6 2 2 2" xfId="10743" xr:uid="{00000000-0005-0000-0000-00004F030000}"/>
    <cellStyle name="Comma 17 3 2 2 6 2 3" xfId="8085" xr:uid="{00000000-0005-0000-0000-000050030000}"/>
    <cellStyle name="Comma 17 3 2 2 6 3" xfId="3003" xr:uid="{00000000-0005-0000-0000-000051030000}"/>
    <cellStyle name="Comma 17 3 2 2 6 3 2" xfId="6306" xr:uid="{00000000-0005-0000-0000-000052030000}"/>
    <cellStyle name="Comma 17 3 2 2 6 3 2 2" xfId="11620" xr:uid="{00000000-0005-0000-0000-000053030000}"/>
    <cellStyle name="Comma 17 3 2 2 6 3 3" xfId="8962" xr:uid="{00000000-0005-0000-0000-000054030000}"/>
    <cellStyle name="Comma 17 3 2 2 6 4" xfId="4360" xr:uid="{00000000-0005-0000-0000-000055030000}"/>
    <cellStyle name="Comma 17 3 2 2 6 4 2" xfId="9866" xr:uid="{00000000-0005-0000-0000-000056030000}"/>
    <cellStyle name="Comma 17 3 2 2 6 5" xfId="7208" xr:uid="{00000000-0005-0000-0000-000057030000}"/>
    <cellStyle name="Comma 17 3 2 2 7" xfId="1643" xr:uid="{00000000-0005-0000-0000-000058030000}"/>
    <cellStyle name="Comma 17 3 2 2 7 2" xfId="4993" xr:uid="{00000000-0005-0000-0000-000059030000}"/>
    <cellStyle name="Comma 17 3 2 2 7 2 2" xfId="10307" xr:uid="{00000000-0005-0000-0000-00005A030000}"/>
    <cellStyle name="Comma 17 3 2 2 7 3" xfId="7649" xr:uid="{00000000-0005-0000-0000-00005B030000}"/>
    <cellStyle name="Comma 17 3 2 2 8" xfId="2564" xr:uid="{00000000-0005-0000-0000-00005C030000}"/>
    <cellStyle name="Comma 17 3 2 2 8 2" xfId="5870" xr:uid="{00000000-0005-0000-0000-00005D030000}"/>
    <cellStyle name="Comma 17 3 2 2 8 2 2" xfId="11184" xr:uid="{00000000-0005-0000-0000-00005E030000}"/>
    <cellStyle name="Comma 17 3 2 2 8 3" xfId="8526" xr:uid="{00000000-0005-0000-0000-00005F030000}"/>
    <cellStyle name="Comma 17 3 2 2 9" xfId="3675" xr:uid="{00000000-0005-0000-0000-000060030000}"/>
    <cellStyle name="Comma 17 3 2 2 9 2" xfId="9430" xr:uid="{00000000-0005-0000-0000-000061030000}"/>
    <cellStyle name="Comma 17 3 2 3" xfId="426" xr:uid="{00000000-0005-0000-0000-000062030000}"/>
    <cellStyle name="Comma 17 3 2 3 2" xfId="749" xr:uid="{00000000-0005-0000-0000-000063030000}"/>
    <cellStyle name="Comma 17 3 2 3 2 2" xfId="1436" xr:uid="{00000000-0005-0000-0000-000064030000}"/>
    <cellStyle name="Comma 17 3 2 3 2 2 2" xfId="2368" xr:uid="{00000000-0005-0000-0000-000065030000}"/>
    <cellStyle name="Comma 17 3 2 3 2 2 2 2" xfId="5715" xr:uid="{00000000-0005-0000-0000-000066030000}"/>
    <cellStyle name="Comma 17 3 2 3 2 2 2 2 2" xfId="11029" xr:uid="{00000000-0005-0000-0000-000067030000}"/>
    <cellStyle name="Comma 17 3 2 3 2 2 2 3" xfId="8371" xr:uid="{00000000-0005-0000-0000-000068030000}"/>
    <cellStyle name="Comma 17 3 2 3 2 2 3" xfId="3289" xr:uid="{00000000-0005-0000-0000-000069030000}"/>
    <cellStyle name="Comma 17 3 2 3 2 2 3 2" xfId="6592" xr:uid="{00000000-0005-0000-0000-00006A030000}"/>
    <cellStyle name="Comma 17 3 2 3 2 2 3 2 2" xfId="11906" xr:uid="{00000000-0005-0000-0000-00006B030000}"/>
    <cellStyle name="Comma 17 3 2 3 2 2 3 3" xfId="9248" xr:uid="{00000000-0005-0000-0000-00006C030000}"/>
    <cellStyle name="Comma 17 3 2 3 2 2 4" xfId="4828" xr:uid="{00000000-0005-0000-0000-00006D030000}"/>
    <cellStyle name="Comma 17 3 2 3 2 2 4 2" xfId="10152" xr:uid="{00000000-0005-0000-0000-00006E030000}"/>
    <cellStyle name="Comma 17 3 2 3 2 2 5" xfId="7494" xr:uid="{00000000-0005-0000-0000-00006F030000}"/>
    <cellStyle name="Comma 17 3 2 3 2 3" xfId="1930" xr:uid="{00000000-0005-0000-0000-000070030000}"/>
    <cellStyle name="Comma 17 3 2 3 2 3 2" xfId="5279" xr:uid="{00000000-0005-0000-0000-000071030000}"/>
    <cellStyle name="Comma 17 3 2 3 2 3 2 2" xfId="10593" xr:uid="{00000000-0005-0000-0000-000072030000}"/>
    <cellStyle name="Comma 17 3 2 3 2 3 3" xfId="7935" xr:uid="{00000000-0005-0000-0000-000073030000}"/>
    <cellStyle name="Comma 17 3 2 3 2 4" xfId="2851" xr:uid="{00000000-0005-0000-0000-000074030000}"/>
    <cellStyle name="Comma 17 3 2 3 2 4 2" xfId="6156" xr:uid="{00000000-0005-0000-0000-000075030000}"/>
    <cellStyle name="Comma 17 3 2 3 2 4 2 2" xfId="11470" xr:uid="{00000000-0005-0000-0000-000076030000}"/>
    <cellStyle name="Comma 17 3 2 3 2 4 3" xfId="8812" xr:uid="{00000000-0005-0000-0000-000077030000}"/>
    <cellStyle name="Comma 17 3 2 3 2 5" xfId="4143" xr:uid="{00000000-0005-0000-0000-000078030000}"/>
    <cellStyle name="Comma 17 3 2 3 2 5 2" xfId="9716" xr:uid="{00000000-0005-0000-0000-000079030000}"/>
    <cellStyle name="Comma 17 3 2 3 2 6" xfId="7058" xr:uid="{00000000-0005-0000-0000-00007A030000}"/>
    <cellStyle name="Comma 17 3 2 3 3" xfId="1114" xr:uid="{00000000-0005-0000-0000-00007B030000}"/>
    <cellStyle name="Comma 17 3 2 3 3 2" xfId="2168" xr:uid="{00000000-0005-0000-0000-00007C030000}"/>
    <cellStyle name="Comma 17 3 2 3 3 2 2" xfId="5515" xr:uid="{00000000-0005-0000-0000-00007D030000}"/>
    <cellStyle name="Comma 17 3 2 3 3 2 2 2" xfId="10829" xr:uid="{00000000-0005-0000-0000-00007E030000}"/>
    <cellStyle name="Comma 17 3 2 3 3 2 3" xfId="8171" xr:uid="{00000000-0005-0000-0000-00007F030000}"/>
    <cellStyle name="Comma 17 3 2 3 3 3" xfId="3089" xr:uid="{00000000-0005-0000-0000-000080030000}"/>
    <cellStyle name="Comma 17 3 2 3 3 3 2" xfId="6392" xr:uid="{00000000-0005-0000-0000-000081030000}"/>
    <cellStyle name="Comma 17 3 2 3 3 3 2 2" xfId="11706" xr:uid="{00000000-0005-0000-0000-000082030000}"/>
    <cellStyle name="Comma 17 3 2 3 3 3 3" xfId="9048" xr:uid="{00000000-0005-0000-0000-000083030000}"/>
    <cellStyle name="Comma 17 3 2 3 3 4" xfId="4506" xr:uid="{00000000-0005-0000-0000-000084030000}"/>
    <cellStyle name="Comma 17 3 2 3 3 4 2" xfId="9952" xr:uid="{00000000-0005-0000-0000-000085030000}"/>
    <cellStyle name="Comma 17 3 2 3 3 5" xfId="7294" xr:uid="{00000000-0005-0000-0000-000086030000}"/>
    <cellStyle name="Comma 17 3 2 3 4" xfId="1730" xr:uid="{00000000-0005-0000-0000-000087030000}"/>
    <cellStyle name="Comma 17 3 2 3 4 2" xfId="5079" xr:uid="{00000000-0005-0000-0000-000088030000}"/>
    <cellStyle name="Comma 17 3 2 3 4 2 2" xfId="10393" xr:uid="{00000000-0005-0000-0000-000089030000}"/>
    <cellStyle name="Comma 17 3 2 3 4 3" xfId="7735" xr:uid="{00000000-0005-0000-0000-00008A030000}"/>
    <cellStyle name="Comma 17 3 2 3 5" xfId="2651" xr:uid="{00000000-0005-0000-0000-00008B030000}"/>
    <cellStyle name="Comma 17 3 2 3 5 2" xfId="5956" xr:uid="{00000000-0005-0000-0000-00008C030000}"/>
    <cellStyle name="Comma 17 3 2 3 5 2 2" xfId="11270" xr:uid="{00000000-0005-0000-0000-00008D030000}"/>
    <cellStyle name="Comma 17 3 2 3 5 3" xfId="8612" xr:uid="{00000000-0005-0000-0000-00008E030000}"/>
    <cellStyle name="Comma 17 3 2 3 6" xfId="3821" xr:uid="{00000000-0005-0000-0000-00008F030000}"/>
    <cellStyle name="Comma 17 3 2 3 6 2" xfId="9516" xr:uid="{00000000-0005-0000-0000-000090030000}"/>
    <cellStyle name="Comma 17 3 2 3 7" xfId="6858" xr:uid="{00000000-0005-0000-0000-000091030000}"/>
    <cellStyle name="Comma 17 3 2 4" xfId="600" xr:uid="{00000000-0005-0000-0000-000092030000}"/>
    <cellStyle name="Comma 17 3 2 4 2" xfId="1287" xr:uid="{00000000-0005-0000-0000-000093030000}"/>
    <cellStyle name="Comma 17 3 2 4 2 2" xfId="2279" xr:uid="{00000000-0005-0000-0000-000094030000}"/>
    <cellStyle name="Comma 17 3 2 4 2 2 2" xfId="5626" xr:uid="{00000000-0005-0000-0000-000095030000}"/>
    <cellStyle name="Comma 17 3 2 4 2 2 2 2" xfId="10940" xr:uid="{00000000-0005-0000-0000-000096030000}"/>
    <cellStyle name="Comma 17 3 2 4 2 2 3" xfId="8282" xr:uid="{00000000-0005-0000-0000-000097030000}"/>
    <cellStyle name="Comma 17 3 2 4 2 3" xfId="3200" xr:uid="{00000000-0005-0000-0000-000098030000}"/>
    <cellStyle name="Comma 17 3 2 4 2 3 2" xfId="6503" xr:uid="{00000000-0005-0000-0000-000099030000}"/>
    <cellStyle name="Comma 17 3 2 4 2 3 2 2" xfId="11817" xr:uid="{00000000-0005-0000-0000-00009A030000}"/>
    <cellStyle name="Comma 17 3 2 4 2 3 3" xfId="9159" xr:uid="{00000000-0005-0000-0000-00009B030000}"/>
    <cellStyle name="Comma 17 3 2 4 2 4" xfId="4679" xr:uid="{00000000-0005-0000-0000-00009C030000}"/>
    <cellStyle name="Comma 17 3 2 4 2 4 2" xfId="10063" xr:uid="{00000000-0005-0000-0000-00009D030000}"/>
    <cellStyle name="Comma 17 3 2 4 2 5" xfId="7405" xr:uid="{00000000-0005-0000-0000-00009E030000}"/>
    <cellStyle name="Comma 17 3 2 4 3" xfId="1841" xr:uid="{00000000-0005-0000-0000-00009F030000}"/>
    <cellStyle name="Comma 17 3 2 4 3 2" xfId="5190" xr:uid="{00000000-0005-0000-0000-0000A0030000}"/>
    <cellStyle name="Comma 17 3 2 4 3 2 2" xfId="10504" xr:uid="{00000000-0005-0000-0000-0000A1030000}"/>
    <cellStyle name="Comma 17 3 2 4 3 3" xfId="7846" xr:uid="{00000000-0005-0000-0000-0000A2030000}"/>
    <cellStyle name="Comma 17 3 2 4 4" xfId="2762" xr:uid="{00000000-0005-0000-0000-0000A3030000}"/>
    <cellStyle name="Comma 17 3 2 4 4 2" xfId="6067" xr:uid="{00000000-0005-0000-0000-0000A4030000}"/>
    <cellStyle name="Comma 17 3 2 4 4 2 2" xfId="11381" xr:uid="{00000000-0005-0000-0000-0000A5030000}"/>
    <cellStyle name="Comma 17 3 2 4 4 3" xfId="8723" xr:uid="{00000000-0005-0000-0000-0000A6030000}"/>
    <cellStyle name="Comma 17 3 2 4 5" xfId="3994" xr:uid="{00000000-0005-0000-0000-0000A7030000}"/>
    <cellStyle name="Comma 17 3 2 4 5 2" xfId="9627" xr:uid="{00000000-0005-0000-0000-0000A8030000}"/>
    <cellStyle name="Comma 17 3 2 4 6" xfId="6969" xr:uid="{00000000-0005-0000-0000-0000A9030000}"/>
    <cellStyle name="Comma 17 3 2 5" xfId="965" xr:uid="{00000000-0005-0000-0000-0000AA030000}"/>
    <cellStyle name="Comma 17 3 2 5 2" xfId="2079" xr:uid="{00000000-0005-0000-0000-0000AB030000}"/>
    <cellStyle name="Comma 17 3 2 5 2 2" xfId="5426" xr:uid="{00000000-0005-0000-0000-0000AC030000}"/>
    <cellStyle name="Comma 17 3 2 5 2 2 2" xfId="10740" xr:uid="{00000000-0005-0000-0000-0000AD030000}"/>
    <cellStyle name="Comma 17 3 2 5 2 3" xfId="8082" xr:uid="{00000000-0005-0000-0000-0000AE030000}"/>
    <cellStyle name="Comma 17 3 2 5 3" xfId="3000" xr:uid="{00000000-0005-0000-0000-0000AF030000}"/>
    <cellStyle name="Comma 17 3 2 5 3 2" xfId="6303" xr:uid="{00000000-0005-0000-0000-0000B0030000}"/>
    <cellStyle name="Comma 17 3 2 5 3 2 2" xfId="11617" xr:uid="{00000000-0005-0000-0000-0000B1030000}"/>
    <cellStyle name="Comma 17 3 2 5 3 3" xfId="8959" xr:uid="{00000000-0005-0000-0000-0000B2030000}"/>
    <cellStyle name="Comma 17 3 2 5 4" xfId="4357" xr:uid="{00000000-0005-0000-0000-0000B3030000}"/>
    <cellStyle name="Comma 17 3 2 5 4 2" xfId="9863" xr:uid="{00000000-0005-0000-0000-0000B4030000}"/>
    <cellStyle name="Comma 17 3 2 5 5" xfId="7205" xr:uid="{00000000-0005-0000-0000-0000B5030000}"/>
    <cellStyle name="Comma 17 3 2 6" xfId="1640" xr:uid="{00000000-0005-0000-0000-0000B6030000}"/>
    <cellStyle name="Comma 17 3 2 6 2" xfId="4990" xr:uid="{00000000-0005-0000-0000-0000B7030000}"/>
    <cellStyle name="Comma 17 3 2 6 2 2" xfId="10304" xr:uid="{00000000-0005-0000-0000-0000B8030000}"/>
    <cellStyle name="Comma 17 3 2 6 3" xfId="7646" xr:uid="{00000000-0005-0000-0000-0000B9030000}"/>
    <cellStyle name="Comma 17 3 2 7" xfId="2561" xr:uid="{00000000-0005-0000-0000-0000BA030000}"/>
    <cellStyle name="Comma 17 3 2 7 2" xfId="5867" xr:uid="{00000000-0005-0000-0000-0000BB030000}"/>
    <cellStyle name="Comma 17 3 2 7 2 2" xfId="11181" xr:uid="{00000000-0005-0000-0000-0000BC030000}"/>
    <cellStyle name="Comma 17 3 2 7 3" xfId="8523" xr:uid="{00000000-0005-0000-0000-0000BD030000}"/>
    <cellStyle name="Comma 17 3 2 8" xfId="3672" xr:uid="{00000000-0005-0000-0000-0000BE030000}"/>
    <cellStyle name="Comma 17 3 2 8 2" xfId="9427" xr:uid="{00000000-0005-0000-0000-0000BF030000}"/>
    <cellStyle name="Comma 17 3 2 9" xfId="6764" xr:uid="{00000000-0005-0000-0000-0000C0030000}"/>
    <cellStyle name="Comma 17 3 3" xfId="391" xr:uid="{00000000-0005-0000-0000-0000C1030000}"/>
    <cellStyle name="Comma 17 3 3 2" xfId="714" xr:uid="{00000000-0005-0000-0000-0000C2030000}"/>
    <cellStyle name="Comma 17 3 3 2 2" xfId="1401" xr:uid="{00000000-0005-0000-0000-0000C3030000}"/>
    <cellStyle name="Comma 17 3 3 2 2 2" xfId="2334" xr:uid="{00000000-0005-0000-0000-0000C4030000}"/>
    <cellStyle name="Comma 17 3 3 2 2 2 2" xfId="5681" xr:uid="{00000000-0005-0000-0000-0000C5030000}"/>
    <cellStyle name="Comma 17 3 3 2 2 2 2 2" xfId="10995" xr:uid="{00000000-0005-0000-0000-0000C6030000}"/>
    <cellStyle name="Comma 17 3 3 2 2 2 3" xfId="8337" xr:uid="{00000000-0005-0000-0000-0000C7030000}"/>
    <cellStyle name="Comma 17 3 3 2 2 3" xfId="3255" xr:uid="{00000000-0005-0000-0000-0000C8030000}"/>
    <cellStyle name="Comma 17 3 3 2 2 3 2" xfId="6558" xr:uid="{00000000-0005-0000-0000-0000C9030000}"/>
    <cellStyle name="Comma 17 3 3 2 2 3 2 2" xfId="11872" xr:uid="{00000000-0005-0000-0000-0000CA030000}"/>
    <cellStyle name="Comma 17 3 3 2 2 3 3" xfId="9214" xr:uid="{00000000-0005-0000-0000-0000CB030000}"/>
    <cellStyle name="Comma 17 3 3 2 2 4" xfId="4793" xr:uid="{00000000-0005-0000-0000-0000CC030000}"/>
    <cellStyle name="Comma 17 3 3 2 2 4 2" xfId="10118" xr:uid="{00000000-0005-0000-0000-0000CD030000}"/>
    <cellStyle name="Comma 17 3 3 2 2 5" xfId="7460" xr:uid="{00000000-0005-0000-0000-0000CE030000}"/>
    <cellStyle name="Comma 17 3 3 2 3" xfId="1896" xr:uid="{00000000-0005-0000-0000-0000CF030000}"/>
    <cellStyle name="Comma 17 3 3 2 3 2" xfId="5245" xr:uid="{00000000-0005-0000-0000-0000D0030000}"/>
    <cellStyle name="Comma 17 3 3 2 3 2 2" xfId="10559" xr:uid="{00000000-0005-0000-0000-0000D1030000}"/>
    <cellStyle name="Comma 17 3 3 2 3 3" xfId="7901" xr:uid="{00000000-0005-0000-0000-0000D2030000}"/>
    <cellStyle name="Comma 17 3 3 2 4" xfId="2817" xr:uid="{00000000-0005-0000-0000-0000D3030000}"/>
    <cellStyle name="Comma 17 3 3 2 4 2" xfId="6122" xr:uid="{00000000-0005-0000-0000-0000D4030000}"/>
    <cellStyle name="Comma 17 3 3 2 4 2 2" xfId="11436" xr:uid="{00000000-0005-0000-0000-0000D5030000}"/>
    <cellStyle name="Comma 17 3 3 2 4 3" xfId="8778" xr:uid="{00000000-0005-0000-0000-0000D6030000}"/>
    <cellStyle name="Comma 17 3 3 2 5" xfId="4108" xr:uid="{00000000-0005-0000-0000-0000D7030000}"/>
    <cellStyle name="Comma 17 3 3 2 5 2" xfId="9682" xr:uid="{00000000-0005-0000-0000-0000D8030000}"/>
    <cellStyle name="Comma 17 3 3 2 6" xfId="7024" xr:uid="{00000000-0005-0000-0000-0000D9030000}"/>
    <cellStyle name="Comma 17 3 3 3" xfId="1079" xr:uid="{00000000-0005-0000-0000-0000DA030000}"/>
    <cellStyle name="Comma 17 3 3 3 2" xfId="2134" xr:uid="{00000000-0005-0000-0000-0000DB030000}"/>
    <cellStyle name="Comma 17 3 3 3 2 2" xfId="5481" xr:uid="{00000000-0005-0000-0000-0000DC030000}"/>
    <cellStyle name="Comma 17 3 3 3 2 2 2" xfId="10795" xr:uid="{00000000-0005-0000-0000-0000DD030000}"/>
    <cellStyle name="Comma 17 3 3 3 2 3" xfId="8137" xr:uid="{00000000-0005-0000-0000-0000DE030000}"/>
    <cellStyle name="Comma 17 3 3 3 3" xfId="3055" xr:uid="{00000000-0005-0000-0000-0000DF030000}"/>
    <cellStyle name="Comma 17 3 3 3 3 2" xfId="6358" xr:uid="{00000000-0005-0000-0000-0000E0030000}"/>
    <cellStyle name="Comma 17 3 3 3 3 2 2" xfId="11672" xr:uid="{00000000-0005-0000-0000-0000E1030000}"/>
    <cellStyle name="Comma 17 3 3 3 3 3" xfId="9014" xr:uid="{00000000-0005-0000-0000-0000E2030000}"/>
    <cellStyle name="Comma 17 3 3 3 4" xfId="4471" xr:uid="{00000000-0005-0000-0000-0000E3030000}"/>
    <cellStyle name="Comma 17 3 3 3 4 2" xfId="9918" xr:uid="{00000000-0005-0000-0000-0000E4030000}"/>
    <cellStyle name="Comma 17 3 3 3 5" xfId="7260" xr:uid="{00000000-0005-0000-0000-0000E5030000}"/>
    <cellStyle name="Comma 17 3 3 4" xfId="1696" xr:uid="{00000000-0005-0000-0000-0000E6030000}"/>
    <cellStyle name="Comma 17 3 3 4 2" xfId="5045" xr:uid="{00000000-0005-0000-0000-0000E7030000}"/>
    <cellStyle name="Comma 17 3 3 4 2 2" xfId="10359" xr:uid="{00000000-0005-0000-0000-0000E8030000}"/>
    <cellStyle name="Comma 17 3 3 4 3" xfId="7701" xr:uid="{00000000-0005-0000-0000-0000E9030000}"/>
    <cellStyle name="Comma 17 3 3 5" xfId="2617" xr:uid="{00000000-0005-0000-0000-0000EA030000}"/>
    <cellStyle name="Comma 17 3 3 5 2" xfId="5922" xr:uid="{00000000-0005-0000-0000-0000EB030000}"/>
    <cellStyle name="Comma 17 3 3 5 2 2" xfId="11236" xr:uid="{00000000-0005-0000-0000-0000EC030000}"/>
    <cellStyle name="Comma 17 3 3 5 3" xfId="8578" xr:uid="{00000000-0005-0000-0000-0000ED030000}"/>
    <cellStyle name="Comma 17 3 3 6" xfId="3786" xr:uid="{00000000-0005-0000-0000-0000EE030000}"/>
    <cellStyle name="Comma 17 3 3 6 2" xfId="9482" xr:uid="{00000000-0005-0000-0000-0000EF030000}"/>
    <cellStyle name="Comma 17 3 3 7" xfId="6824" xr:uid="{00000000-0005-0000-0000-0000F0030000}"/>
    <cellStyle name="Comma 17 3 4" xfId="566" xr:uid="{00000000-0005-0000-0000-0000F1030000}"/>
    <cellStyle name="Comma 17 3 4 2" xfId="1253" xr:uid="{00000000-0005-0000-0000-0000F2030000}"/>
    <cellStyle name="Comma 17 3 4 2 2" xfId="2245" xr:uid="{00000000-0005-0000-0000-0000F3030000}"/>
    <cellStyle name="Comma 17 3 4 2 2 2" xfId="5592" xr:uid="{00000000-0005-0000-0000-0000F4030000}"/>
    <cellStyle name="Comma 17 3 4 2 2 2 2" xfId="10906" xr:uid="{00000000-0005-0000-0000-0000F5030000}"/>
    <cellStyle name="Comma 17 3 4 2 2 3" xfId="8248" xr:uid="{00000000-0005-0000-0000-0000F6030000}"/>
    <cellStyle name="Comma 17 3 4 2 3" xfId="3166" xr:uid="{00000000-0005-0000-0000-0000F7030000}"/>
    <cellStyle name="Comma 17 3 4 2 3 2" xfId="6469" xr:uid="{00000000-0005-0000-0000-0000F8030000}"/>
    <cellStyle name="Comma 17 3 4 2 3 2 2" xfId="11783" xr:uid="{00000000-0005-0000-0000-0000F9030000}"/>
    <cellStyle name="Comma 17 3 4 2 3 3" xfId="9125" xr:uid="{00000000-0005-0000-0000-0000FA030000}"/>
    <cellStyle name="Comma 17 3 4 2 4" xfId="4645" xr:uid="{00000000-0005-0000-0000-0000FB030000}"/>
    <cellStyle name="Comma 17 3 4 2 4 2" xfId="10029" xr:uid="{00000000-0005-0000-0000-0000FC030000}"/>
    <cellStyle name="Comma 17 3 4 2 5" xfId="7371" xr:uid="{00000000-0005-0000-0000-0000FD030000}"/>
    <cellStyle name="Comma 17 3 4 3" xfId="1807" xr:uid="{00000000-0005-0000-0000-0000FE030000}"/>
    <cellStyle name="Comma 17 3 4 3 2" xfId="5156" xr:uid="{00000000-0005-0000-0000-0000FF030000}"/>
    <cellStyle name="Comma 17 3 4 3 2 2" xfId="10470" xr:uid="{00000000-0005-0000-0000-000000040000}"/>
    <cellStyle name="Comma 17 3 4 3 3" xfId="7812" xr:uid="{00000000-0005-0000-0000-000001040000}"/>
    <cellStyle name="Comma 17 3 4 4" xfId="2728" xr:uid="{00000000-0005-0000-0000-000002040000}"/>
    <cellStyle name="Comma 17 3 4 4 2" xfId="6033" xr:uid="{00000000-0005-0000-0000-000003040000}"/>
    <cellStyle name="Comma 17 3 4 4 2 2" xfId="11347" xr:uid="{00000000-0005-0000-0000-000004040000}"/>
    <cellStyle name="Comma 17 3 4 4 3" xfId="8689" xr:uid="{00000000-0005-0000-0000-000005040000}"/>
    <cellStyle name="Comma 17 3 4 5" xfId="3960" xr:uid="{00000000-0005-0000-0000-000006040000}"/>
    <cellStyle name="Comma 17 3 4 5 2" xfId="9593" xr:uid="{00000000-0005-0000-0000-000007040000}"/>
    <cellStyle name="Comma 17 3 4 6" xfId="6935" xr:uid="{00000000-0005-0000-0000-000008040000}"/>
    <cellStyle name="Comma 17 3 5" xfId="931" xr:uid="{00000000-0005-0000-0000-000009040000}"/>
    <cellStyle name="Comma 17 3 5 2" xfId="2045" xr:uid="{00000000-0005-0000-0000-00000A040000}"/>
    <cellStyle name="Comma 17 3 5 2 2" xfId="5392" xr:uid="{00000000-0005-0000-0000-00000B040000}"/>
    <cellStyle name="Comma 17 3 5 2 2 2" xfId="10706" xr:uid="{00000000-0005-0000-0000-00000C040000}"/>
    <cellStyle name="Comma 17 3 5 2 3" xfId="8048" xr:uid="{00000000-0005-0000-0000-00000D040000}"/>
    <cellStyle name="Comma 17 3 5 3" xfId="2966" xr:uid="{00000000-0005-0000-0000-00000E040000}"/>
    <cellStyle name="Comma 17 3 5 3 2" xfId="6269" xr:uid="{00000000-0005-0000-0000-00000F040000}"/>
    <cellStyle name="Comma 17 3 5 3 2 2" xfId="11583" xr:uid="{00000000-0005-0000-0000-000010040000}"/>
    <cellStyle name="Comma 17 3 5 3 3" xfId="8925" xr:uid="{00000000-0005-0000-0000-000011040000}"/>
    <cellStyle name="Comma 17 3 5 4" xfId="4323" xr:uid="{00000000-0005-0000-0000-000012040000}"/>
    <cellStyle name="Comma 17 3 5 4 2" xfId="9829" xr:uid="{00000000-0005-0000-0000-000013040000}"/>
    <cellStyle name="Comma 17 3 5 5" xfId="7171" xr:uid="{00000000-0005-0000-0000-000014040000}"/>
    <cellStyle name="Comma 17 3 6" xfId="1601" xr:uid="{00000000-0005-0000-0000-000015040000}"/>
    <cellStyle name="Comma 17 3 6 2" xfId="4956" xr:uid="{00000000-0005-0000-0000-000016040000}"/>
    <cellStyle name="Comma 17 3 6 2 2" xfId="10270" xr:uid="{00000000-0005-0000-0000-000017040000}"/>
    <cellStyle name="Comma 17 3 6 3" xfId="7612" xr:uid="{00000000-0005-0000-0000-000018040000}"/>
    <cellStyle name="Comma 17 3 7" xfId="2523" xr:uid="{00000000-0005-0000-0000-000019040000}"/>
    <cellStyle name="Comma 17 3 7 2" xfId="5833" xr:uid="{00000000-0005-0000-0000-00001A040000}"/>
    <cellStyle name="Comma 17 3 7 2 2" xfId="11147" xr:uid="{00000000-0005-0000-0000-00001B040000}"/>
    <cellStyle name="Comma 17 3 7 3" xfId="8489" xr:uid="{00000000-0005-0000-0000-00001C040000}"/>
    <cellStyle name="Comma 17 3 8" xfId="3638" xr:uid="{00000000-0005-0000-0000-00001D040000}"/>
    <cellStyle name="Comma 17 3 8 2" xfId="9393" xr:uid="{00000000-0005-0000-0000-00001E040000}"/>
    <cellStyle name="Comma 17 3 9" xfId="6730" xr:uid="{00000000-0005-0000-0000-00001F040000}"/>
    <cellStyle name="Comma 17 4" xfId="195" xr:uid="{00000000-0005-0000-0000-000020040000}"/>
    <cellStyle name="Comma 17 4 2" xfId="395" xr:uid="{00000000-0005-0000-0000-000021040000}"/>
    <cellStyle name="Comma 17 4 2 2" xfId="718" xr:uid="{00000000-0005-0000-0000-000022040000}"/>
    <cellStyle name="Comma 17 4 2 2 2" xfId="1405" xr:uid="{00000000-0005-0000-0000-000023040000}"/>
    <cellStyle name="Comma 17 4 2 2 2 2" xfId="2337" xr:uid="{00000000-0005-0000-0000-000024040000}"/>
    <cellStyle name="Comma 17 4 2 2 2 2 2" xfId="5684" xr:uid="{00000000-0005-0000-0000-000025040000}"/>
    <cellStyle name="Comma 17 4 2 2 2 2 2 2" xfId="10998" xr:uid="{00000000-0005-0000-0000-000026040000}"/>
    <cellStyle name="Comma 17 4 2 2 2 2 3" xfId="8340" xr:uid="{00000000-0005-0000-0000-000027040000}"/>
    <cellStyle name="Comma 17 4 2 2 2 3" xfId="3258" xr:uid="{00000000-0005-0000-0000-000028040000}"/>
    <cellStyle name="Comma 17 4 2 2 2 3 2" xfId="6561" xr:uid="{00000000-0005-0000-0000-000029040000}"/>
    <cellStyle name="Comma 17 4 2 2 2 3 2 2" xfId="11875" xr:uid="{00000000-0005-0000-0000-00002A040000}"/>
    <cellStyle name="Comma 17 4 2 2 2 3 3" xfId="9217" xr:uid="{00000000-0005-0000-0000-00002B040000}"/>
    <cellStyle name="Comma 17 4 2 2 2 4" xfId="4797" xr:uid="{00000000-0005-0000-0000-00002C040000}"/>
    <cellStyle name="Comma 17 4 2 2 2 4 2" xfId="10121" xr:uid="{00000000-0005-0000-0000-00002D040000}"/>
    <cellStyle name="Comma 17 4 2 2 2 5" xfId="7463" xr:uid="{00000000-0005-0000-0000-00002E040000}"/>
    <cellStyle name="Comma 17 4 2 2 3" xfId="1899" xr:uid="{00000000-0005-0000-0000-00002F040000}"/>
    <cellStyle name="Comma 17 4 2 2 3 2" xfId="5248" xr:uid="{00000000-0005-0000-0000-000030040000}"/>
    <cellStyle name="Comma 17 4 2 2 3 2 2" xfId="10562" xr:uid="{00000000-0005-0000-0000-000031040000}"/>
    <cellStyle name="Comma 17 4 2 2 3 3" xfId="7904" xr:uid="{00000000-0005-0000-0000-000032040000}"/>
    <cellStyle name="Comma 17 4 2 2 4" xfId="2820" xr:uid="{00000000-0005-0000-0000-000033040000}"/>
    <cellStyle name="Comma 17 4 2 2 4 2" xfId="6125" xr:uid="{00000000-0005-0000-0000-000034040000}"/>
    <cellStyle name="Comma 17 4 2 2 4 2 2" xfId="11439" xr:uid="{00000000-0005-0000-0000-000035040000}"/>
    <cellStyle name="Comma 17 4 2 2 4 3" xfId="8781" xr:uid="{00000000-0005-0000-0000-000036040000}"/>
    <cellStyle name="Comma 17 4 2 2 5" xfId="4112" xr:uid="{00000000-0005-0000-0000-000037040000}"/>
    <cellStyle name="Comma 17 4 2 2 5 2" xfId="9685" xr:uid="{00000000-0005-0000-0000-000038040000}"/>
    <cellStyle name="Comma 17 4 2 2 6" xfId="7027" xr:uid="{00000000-0005-0000-0000-000039040000}"/>
    <cellStyle name="Comma 17 4 2 3" xfId="1083" xr:uid="{00000000-0005-0000-0000-00003A040000}"/>
    <cellStyle name="Comma 17 4 2 3 2" xfId="2137" xr:uid="{00000000-0005-0000-0000-00003B040000}"/>
    <cellStyle name="Comma 17 4 2 3 2 2" xfId="5484" xr:uid="{00000000-0005-0000-0000-00003C040000}"/>
    <cellStyle name="Comma 17 4 2 3 2 2 2" xfId="10798" xr:uid="{00000000-0005-0000-0000-00003D040000}"/>
    <cellStyle name="Comma 17 4 2 3 2 3" xfId="8140" xr:uid="{00000000-0005-0000-0000-00003E040000}"/>
    <cellStyle name="Comma 17 4 2 3 3" xfId="3058" xr:uid="{00000000-0005-0000-0000-00003F040000}"/>
    <cellStyle name="Comma 17 4 2 3 3 2" xfId="6361" xr:uid="{00000000-0005-0000-0000-000040040000}"/>
    <cellStyle name="Comma 17 4 2 3 3 2 2" xfId="11675" xr:uid="{00000000-0005-0000-0000-000041040000}"/>
    <cellStyle name="Comma 17 4 2 3 3 3" xfId="9017" xr:uid="{00000000-0005-0000-0000-000042040000}"/>
    <cellStyle name="Comma 17 4 2 3 4" xfId="4475" xr:uid="{00000000-0005-0000-0000-000043040000}"/>
    <cellStyle name="Comma 17 4 2 3 4 2" xfId="9921" xr:uid="{00000000-0005-0000-0000-000044040000}"/>
    <cellStyle name="Comma 17 4 2 3 5" xfId="7263" xr:uid="{00000000-0005-0000-0000-000045040000}"/>
    <cellStyle name="Comma 17 4 2 4" xfId="1699" xr:uid="{00000000-0005-0000-0000-000046040000}"/>
    <cellStyle name="Comma 17 4 2 4 2" xfId="5048" xr:uid="{00000000-0005-0000-0000-000047040000}"/>
    <cellStyle name="Comma 17 4 2 4 2 2" xfId="10362" xr:uid="{00000000-0005-0000-0000-000048040000}"/>
    <cellStyle name="Comma 17 4 2 4 3" xfId="7704" xr:uid="{00000000-0005-0000-0000-000049040000}"/>
    <cellStyle name="Comma 17 4 2 5" xfId="2620" xr:uid="{00000000-0005-0000-0000-00004A040000}"/>
    <cellStyle name="Comma 17 4 2 5 2" xfId="5925" xr:uid="{00000000-0005-0000-0000-00004B040000}"/>
    <cellStyle name="Comma 17 4 2 5 2 2" xfId="11239" xr:uid="{00000000-0005-0000-0000-00004C040000}"/>
    <cellStyle name="Comma 17 4 2 5 3" xfId="8581" xr:uid="{00000000-0005-0000-0000-00004D040000}"/>
    <cellStyle name="Comma 17 4 2 6" xfId="3790" xr:uid="{00000000-0005-0000-0000-00004E040000}"/>
    <cellStyle name="Comma 17 4 2 6 2" xfId="9485" xr:uid="{00000000-0005-0000-0000-00004F040000}"/>
    <cellStyle name="Comma 17 4 2 7" xfId="6827" xr:uid="{00000000-0005-0000-0000-000050040000}"/>
    <cellStyle name="Comma 17 4 3" xfId="569" xr:uid="{00000000-0005-0000-0000-000051040000}"/>
    <cellStyle name="Comma 17 4 3 2" xfId="1256" xr:uid="{00000000-0005-0000-0000-000052040000}"/>
    <cellStyle name="Comma 17 4 3 2 2" xfId="2248" xr:uid="{00000000-0005-0000-0000-000053040000}"/>
    <cellStyle name="Comma 17 4 3 2 2 2" xfId="5595" xr:uid="{00000000-0005-0000-0000-000054040000}"/>
    <cellStyle name="Comma 17 4 3 2 2 2 2" xfId="10909" xr:uid="{00000000-0005-0000-0000-000055040000}"/>
    <cellStyle name="Comma 17 4 3 2 2 3" xfId="8251" xr:uid="{00000000-0005-0000-0000-000056040000}"/>
    <cellStyle name="Comma 17 4 3 2 3" xfId="3169" xr:uid="{00000000-0005-0000-0000-000057040000}"/>
    <cellStyle name="Comma 17 4 3 2 3 2" xfId="6472" xr:uid="{00000000-0005-0000-0000-000058040000}"/>
    <cellStyle name="Comma 17 4 3 2 3 2 2" xfId="11786" xr:uid="{00000000-0005-0000-0000-000059040000}"/>
    <cellStyle name="Comma 17 4 3 2 3 3" xfId="9128" xr:uid="{00000000-0005-0000-0000-00005A040000}"/>
    <cellStyle name="Comma 17 4 3 2 4" xfId="4648" xr:uid="{00000000-0005-0000-0000-00005B040000}"/>
    <cellStyle name="Comma 17 4 3 2 4 2" xfId="10032" xr:uid="{00000000-0005-0000-0000-00005C040000}"/>
    <cellStyle name="Comma 17 4 3 2 5" xfId="7374" xr:uid="{00000000-0005-0000-0000-00005D040000}"/>
    <cellStyle name="Comma 17 4 3 3" xfId="1810" xr:uid="{00000000-0005-0000-0000-00005E040000}"/>
    <cellStyle name="Comma 17 4 3 3 2" xfId="5159" xr:uid="{00000000-0005-0000-0000-00005F040000}"/>
    <cellStyle name="Comma 17 4 3 3 2 2" xfId="10473" xr:uid="{00000000-0005-0000-0000-000060040000}"/>
    <cellStyle name="Comma 17 4 3 3 3" xfId="7815" xr:uid="{00000000-0005-0000-0000-000061040000}"/>
    <cellStyle name="Comma 17 4 3 4" xfId="2731" xr:uid="{00000000-0005-0000-0000-000062040000}"/>
    <cellStyle name="Comma 17 4 3 4 2" xfId="6036" xr:uid="{00000000-0005-0000-0000-000063040000}"/>
    <cellStyle name="Comma 17 4 3 4 2 2" xfId="11350" xr:uid="{00000000-0005-0000-0000-000064040000}"/>
    <cellStyle name="Comma 17 4 3 4 3" xfId="8692" xr:uid="{00000000-0005-0000-0000-000065040000}"/>
    <cellStyle name="Comma 17 4 3 5" xfId="3963" xr:uid="{00000000-0005-0000-0000-000066040000}"/>
    <cellStyle name="Comma 17 4 3 5 2" xfId="9596" xr:uid="{00000000-0005-0000-0000-000067040000}"/>
    <cellStyle name="Comma 17 4 3 6" xfId="6938" xr:uid="{00000000-0005-0000-0000-000068040000}"/>
    <cellStyle name="Comma 17 4 4" xfId="934" xr:uid="{00000000-0005-0000-0000-000069040000}"/>
    <cellStyle name="Comma 17 4 4 2" xfId="2048" xr:uid="{00000000-0005-0000-0000-00006A040000}"/>
    <cellStyle name="Comma 17 4 4 2 2" xfId="5395" xr:uid="{00000000-0005-0000-0000-00006B040000}"/>
    <cellStyle name="Comma 17 4 4 2 2 2" xfId="10709" xr:uid="{00000000-0005-0000-0000-00006C040000}"/>
    <cellStyle name="Comma 17 4 4 2 3" xfId="8051" xr:uid="{00000000-0005-0000-0000-00006D040000}"/>
    <cellStyle name="Comma 17 4 4 3" xfId="2969" xr:uid="{00000000-0005-0000-0000-00006E040000}"/>
    <cellStyle name="Comma 17 4 4 3 2" xfId="6272" xr:uid="{00000000-0005-0000-0000-00006F040000}"/>
    <cellStyle name="Comma 17 4 4 3 2 2" xfId="11586" xr:uid="{00000000-0005-0000-0000-000070040000}"/>
    <cellStyle name="Comma 17 4 4 3 3" xfId="8928" xr:uid="{00000000-0005-0000-0000-000071040000}"/>
    <cellStyle name="Comma 17 4 4 4" xfId="4326" xr:uid="{00000000-0005-0000-0000-000072040000}"/>
    <cellStyle name="Comma 17 4 4 4 2" xfId="9832" xr:uid="{00000000-0005-0000-0000-000073040000}"/>
    <cellStyle name="Comma 17 4 4 5" xfId="7174" xr:uid="{00000000-0005-0000-0000-000074040000}"/>
    <cellStyle name="Comma 17 4 5" xfId="1605" xr:uid="{00000000-0005-0000-0000-000075040000}"/>
    <cellStyle name="Comma 17 4 5 2" xfId="4959" xr:uid="{00000000-0005-0000-0000-000076040000}"/>
    <cellStyle name="Comma 17 4 5 2 2" xfId="10273" xr:uid="{00000000-0005-0000-0000-000077040000}"/>
    <cellStyle name="Comma 17 4 5 3" xfId="7615" xr:uid="{00000000-0005-0000-0000-000078040000}"/>
    <cellStyle name="Comma 17 4 6" xfId="2526" xr:uid="{00000000-0005-0000-0000-000079040000}"/>
    <cellStyle name="Comma 17 4 6 2" xfId="5836" xr:uid="{00000000-0005-0000-0000-00007A040000}"/>
    <cellStyle name="Comma 17 4 6 2 2" xfId="11150" xr:uid="{00000000-0005-0000-0000-00007B040000}"/>
    <cellStyle name="Comma 17 4 6 3" xfId="8492" xr:uid="{00000000-0005-0000-0000-00007C040000}"/>
    <cellStyle name="Comma 17 4 7" xfId="3641" xr:uid="{00000000-0005-0000-0000-00007D040000}"/>
    <cellStyle name="Comma 17 4 7 2" xfId="9396" xr:uid="{00000000-0005-0000-0000-00007E040000}"/>
    <cellStyle name="Comma 17 4 8" xfId="6733" xr:uid="{00000000-0005-0000-0000-00007F040000}"/>
    <cellStyle name="Comma 17 5" xfId="220" xr:uid="{00000000-0005-0000-0000-000080040000}"/>
    <cellStyle name="Comma 17 5 2" xfId="415" xr:uid="{00000000-0005-0000-0000-000081040000}"/>
    <cellStyle name="Comma 17 5 2 2" xfId="738" xr:uid="{00000000-0005-0000-0000-000082040000}"/>
    <cellStyle name="Comma 17 5 2 2 2" xfId="1425" xr:uid="{00000000-0005-0000-0000-000083040000}"/>
    <cellStyle name="Comma 17 5 2 2 2 2" xfId="2357" xr:uid="{00000000-0005-0000-0000-000084040000}"/>
    <cellStyle name="Comma 17 5 2 2 2 2 2" xfId="5704" xr:uid="{00000000-0005-0000-0000-000085040000}"/>
    <cellStyle name="Comma 17 5 2 2 2 2 2 2" xfId="11018" xr:uid="{00000000-0005-0000-0000-000086040000}"/>
    <cellStyle name="Comma 17 5 2 2 2 2 3" xfId="8360" xr:uid="{00000000-0005-0000-0000-000087040000}"/>
    <cellStyle name="Comma 17 5 2 2 2 3" xfId="3278" xr:uid="{00000000-0005-0000-0000-000088040000}"/>
    <cellStyle name="Comma 17 5 2 2 2 3 2" xfId="6581" xr:uid="{00000000-0005-0000-0000-000089040000}"/>
    <cellStyle name="Comma 17 5 2 2 2 3 2 2" xfId="11895" xr:uid="{00000000-0005-0000-0000-00008A040000}"/>
    <cellStyle name="Comma 17 5 2 2 2 3 3" xfId="9237" xr:uid="{00000000-0005-0000-0000-00008B040000}"/>
    <cellStyle name="Comma 17 5 2 2 2 4" xfId="4817" xr:uid="{00000000-0005-0000-0000-00008C040000}"/>
    <cellStyle name="Comma 17 5 2 2 2 4 2" xfId="10141" xr:uid="{00000000-0005-0000-0000-00008D040000}"/>
    <cellStyle name="Comma 17 5 2 2 2 5" xfId="7483" xr:uid="{00000000-0005-0000-0000-00008E040000}"/>
    <cellStyle name="Comma 17 5 2 2 3" xfId="1919" xr:uid="{00000000-0005-0000-0000-00008F040000}"/>
    <cellStyle name="Comma 17 5 2 2 3 2" xfId="5268" xr:uid="{00000000-0005-0000-0000-000090040000}"/>
    <cellStyle name="Comma 17 5 2 2 3 2 2" xfId="10582" xr:uid="{00000000-0005-0000-0000-000091040000}"/>
    <cellStyle name="Comma 17 5 2 2 3 3" xfId="7924" xr:uid="{00000000-0005-0000-0000-000092040000}"/>
    <cellStyle name="Comma 17 5 2 2 4" xfId="2840" xr:uid="{00000000-0005-0000-0000-000093040000}"/>
    <cellStyle name="Comma 17 5 2 2 4 2" xfId="6145" xr:uid="{00000000-0005-0000-0000-000094040000}"/>
    <cellStyle name="Comma 17 5 2 2 4 2 2" xfId="11459" xr:uid="{00000000-0005-0000-0000-000095040000}"/>
    <cellStyle name="Comma 17 5 2 2 4 3" xfId="8801" xr:uid="{00000000-0005-0000-0000-000096040000}"/>
    <cellStyle name="Comma 17 5 2 2 5" xfId="4132" xr:uid="{00000000-0005-0000-0000-000097040000}"/>
    <cellStyle name="Comma 17 5 2 2 5 2" xfId="9705" xr:uid="{00000000-0005-0000-0000-000098040000}"/>
    <cellStyle name="Comma 17 5 2 2 6" xfId="7047" xr:uid="{00000000-0005-0000-0000-000099040000}"/>
    <cellStyle name="Comma 17 5 2 3" xfId="1103" xr:uid="{00000000-0005-0000-0000-00009A040000}"/>
    <cellStyle name="Comma 17 5 2 3 2" xfId="2157" xr:uid="{00000000-0005-0000-0000-00009B040000}"/>
    <cellStyle name="Comma 17 5 2 3 2 2" xfId="5504" xr:uid="{00000000-0005-0000-0000-00009C040000}"/>
    <cellStyle name="Comma 17 5 2 3 2 2 2" xfId="10818" xr:uid="{00000000-0005-0000-0000-00009D040000}"/>
    <cellStyle name="Comma 17 5 2 3 2 3" xfId="8160" xr:uid="{00000000-0005-0000-0000-00009E040000}"/>
    <cellStyle name="Comma 17 5 2 3 3" xfId="3078" xr:uid="{00000000-0005-0000-0000-00009F040000}"/>
    <cellStyle name="Comma 17 5 2 3 3 2" xfId="6381" xr:uid="{00000000-0005-0000-0000-0000A0040000}"/>
    <cellStyle name="Comma 17 5 2 3 3 2 2" xfId="11695" xr:uid="{00000000-0005-0000-0000-0000A1040000}"/>
    <cellStyle name="Comma 17 5 2 3 3 3" xfId="9037" xr:uid="{00000000-0005-0000-0000-0000A2040000}"/>
    <cellStyle name="Comma 17 5 2 3 4" xfId="4495" xr:uid="{00000000-0005-0000-0000-0000A3040000}"/>
    <cellStyle name="Comma 17 5 2 3 4 2" xfId="9941" xr:uid="{00000000-0005-0000-0000-0000A4040000}"/>
    <cellStyle name="Comma 17 5 2 3 5" xfId="7283" xr:uid="{00000000-0005-0000-0000-0000A5040000}"/>
    <cellStyle name="Comma 17 5 2 4" xfId="1719" xr:uid="{00000000-0005-0000-0000-0000A6040000}"/>
    <cellStyle name="Comma 17 5 2 4 2" xfId="5068" xr:uid="{00000000-0005-0000-0000-0000A7040000}"/>
    <cellStyle name="Comma 17 5 2 4 2 2" xfId="10382" xr:uid="{00000000-0005-0000-0000-0000A8040000}"/>
    <cellStyle name="Comma 17 5 2 4 3" xfId="7724" xr:uid="{00000000-0005-0000-0000-0000A9040000}"/>
    <cellStyle name="Comma 17 5 2 5" xfId="2640" xr:uid="{00000000-0005-0000-0000-0000AA040000}"/>
    <cellStyle name="Comma 17 5 2 5 2" xfId="5945" xr:uid="{00000000-0005-0000-0000-0000AB040000}"/>
    <cellStyle name="Comma 17 5 2 5 2 2" xfId="11259" xr:uid="{00000000-0005-0000-0000-0000AC040000}"/>
    <cellStyle name="Comma 17 5 2 5 3" xfId="8601" xr:uid="{00000000-0005-0000-0000-0000AD040000}"/>
    <cellStyle name="Comma 17 5 2 6" xfId="3810" xr:uid="{00000000-0005-0000-0000-0000AE040000}"/>
    <cellStyle name="Comma 17 5 2 6 2" xfId="9505" xr:uid="{00000000-0005-0000-0000-0000AF040000}"/>
    <cellStyle name="Comma 17 5 2 7" xfId="6847" xr:uid="{00000000-0005-0000-0000-0000B0040000}"/>
    <cellStyle name="Comma 17 5 3" xfId="589" xr:uid="{00000000-0005-0000-0000-0000B1040000}"/>
    <cellStyle name="Comma 17 5 3 2" xfId="1276" xr:uid="{00000000-0005-0000-0000-0000B2040000}"/>
    <cellStyle name="Comma 17 5 3 2 2" xfId="2268" xr:uid="{00000000-0005-0000-0000-0000B3040000}"/>
    <cellStyle name="Comma 17 5 3 2 2 2" xfId="5615" xr:uid="{00000000-0005-0000-0000-0000B4040000}"/>
    <cellStyle name="Comma 17 5 3 2 2 2 2" xfId="10929" xr:uid="{00000000-0005-0000-0000-0000B5040000}"/>
    <cellStyle name="Comma 17 5 3 2 2 3" xfId="8271" xr:uid="{00000000-0005-0000-0000-0000B6040000}"/>
    <cellStyle name="Comma 17 5 3 2 3" xfId="3189" xr:uid="{00000000-0005-0000-0000-0000B7040000}"/>
    <cellStyle name="Comma 17 5 3 2 3 2" xfId="6492" xr:uid="{00000000-0005-0000-0000-0000B8040000}"/>
    <cellStyle name="Comma 17 5 3 2 3 2 2" xfId="11806" xr:uid="{00000000-0005-0000-0000-0000B9040000}"/>
    <cellStyle name="Comma 17 5 3 2 3 3" xfId="9148" xr:uid="{00000000-0005-0000-0000-0000BA040000}"/>
    <cellStyle name="Comma 17 5 3 2 4" xfId="4668" xr:uid="{00000000-0005-0000-0000-0000BB040000}"/>
    <cellStyle name="Comma 17 5 3 2 4 2" xfId="10052" xr:uid="{00000000-0005-0000-0000-0000BC040000}"/>
    <cellStyle name="Comma 17 5 3 2 5" xfId="7394" xr:uid="{00000000-0005-0000-0000-0000BD040000}"/>
    <cellStyle name="Comma 17 5 3 3" xfId="1830" xr:uid="{00000000-0005-0000-0000-0000BE040000}"/>
    <cellStyle name="Comma 17 5 3 3 2" xfId="5179" xr:uid="{00000000-0005-0000-0000-0000BF040000}"/>
    <cellStyle name="Comma 17 5 3 3 2 2" xfId="10493" xr:uid="{00000000-0005-0000-0000-0000C0040000}"/>
    <cellStyle name="Comma 17 5 3 3 3" xfId="7835" xr:uid="{00000000-0005-0000-0000-0000C1040000}"/>
    <cellStyle name="Comma 17 5 3 4" xfId="2751" xr:uid="{00000000-0005-0000-0000-0000C2040000}"/>
    <cellStyle name="Comma 17 5 3 4 2" xfId="6056" xr:uid="{00000000-0005-0000-0000-0000C3040000}"/>
    <cellStyle name="Comma 17 5 3 4 2 2" xfId="11370" xr:uid="{00000000-0005-0000-0000-0000C4040000}"/>
    <cellStyle name="Comma 17 5 3 4 3" xfId="8712" xr:uid="{00000000-0005-0000-0000-0000C5040000}"/>
    <cellStyle name="Comma 17 5 3 5" xfId="3983" xr:uid="{00000000-0005-0000-0000-0000C6040000}"/>
    <cellStyle name="Comma 17 5 3 5 2" xfId="9616" xr:uid="{00000000-0005-0000-0000-0000C7040000}"/>
    <cellStyle name="Comma 17 5 3 6" xfId="6958" xr:uid="{00000000-0005-0000-0000-0000C8040000}"/>
    <cellStyle name="Comma 17 5 4" xfId="954" xr:uid="{00000000-0005-0000-0000-0000C9040000}"/>
    <cellStyle name="Comma 17 5 4 2" xfId="2068" xr:uid="{00000000-0005-0000-0000-0000CA040000}"/>
    <cellStyle name="Comma 17 5 4 2 2" xfId="5415" xr:uid="{00000000-0005-0000-0000-0000CB040000}"/>
    <cellStyle name="Comma 17 5 4 2 2 2" xfId="10729" xr:uid="{00000000-0005-0000-0000-0000CC040000}"/>
    <cellStyle name="Comma 17 5 4 2 3" xfId="8071" xr:uid="{00000000-0005-0000-0000-0000CD040000}"/>
    <cellStyle name="Comma 17 5 4 3" xfId="2989" xr:uid="{00000000-0005-0000-0000-0000CE040000}"/>
    <cellStyle name="Comma 17 5 4 3 2" xfId="6292" xr:uid="{00000000-0005-0000-0000-0000CF040000}"/>
    <cellStyle name="Comma 17 5 4 3 2 2" xfId="11606" xr:uid="{00000000-0005-0000-0000-0000D0040000}"/>
    <cellStyle name="Comma 17 5 4 3 3" xfId="8948" xr:uid="{00000000-0005-0000-0000-0000D1040000}"/>
    <cellStyle name="Comma 17 5 4 4" xfId="4346" xr:uid="{00000000-0005-0000-0000-0000D2040000}"/>
    <cellStyle name="Comma 17 5 4 4 2" xfId="9852" xr:uid="{00000000-0005-0000-0000-0000D3040000}"/>
    <cellStyle name="Comma 17 5 4 5" xfId="7194" xr:uid="{00000000-0005-0000-0000-0000D4040000}"/>
    <cellStyle name="Comma 17 5 5" xfId="1629" xr:uid="{00000000-0005-0000-0000-0000D5040000}"/>
    <cellStyle name="Comma 17 5 5 2" xfId="4979" xr:uid="{00000000-0005-0000-0000-0000D6040000}"/>
    <cellStyle name="Comma 17 5 5 2 2" xfId="10293" xr:uid="{00000000-0005-0000-0000-0000D7040000}"/>
    <cellStyle name="Comma 17 5 5 3" xfId="7635" xr:uid="{00000000-0005-0000-0000-0000D8040000}"/>
    <cellStyle name="Comma 17 5 6" xfId="2550" xr:uid="{00000000-0005-0000-0000-0000D9040000}"/>
    <cellStyle name="Comma 17 5 6 2" xfId="5856" xr:uid="{00000000-0005-0000-0000-0000DA040000}"/>
    <cellStyle name="Comma 17 5 6 2 2" xfId="11170" xr:uid="{00000000-0005-0000-0000-0000DB040000}"/>
    <cellStyle name="Comma 17 5 6 3" xfId="8512" xr:uid="{00000000-0005-0000-0000-0000DC040000}"/>
    <cellStyle name="Comma 17 5 7" xfId="3661" xr:uid="{00000000-0005-0000-0000-0000DD040000}"/>
    <cellStyle name="Comma 17 5 7 2" xfId="9416" xr:uid="{00000000-0005-0000-0000-0000DE040000}"/>
    <cellStyle name="Comma 17 5 8" xfId="6753" xr:uid="{00000000-0005-0000-0000-0000DF040000}"/>
    <cellStyle name="Comma 17 6" xfId="313" xr:uid="{00000000-0005-0000-0000-0000E0040000}"/>
    <cellStyle name="Comma 17 6 2" xfId="636" xr:uid="{00000000-0005-0000-0000-0000E1040000}"/>
    <cellStyle name="Comma 17 6 2 2" xfId="1323" xr:uid="{00000000-0005-0000-0000-0000E2040000}"/>
    <cellStyle name="Comma 17 6 2 2 2" xfId="2313" xr:uid="{00000000-0005-0000-0000-0000E3040000}"/>
    <cellStyle name="Comma 17 6 2 2 2 2" xfId="5660" xr:uid="{00000000-0005-0000-0000-0000E4040000}"/>
    <cellStyle name="Comma 17 6 2 2 2 2 2" xfId="10974" xr:uid="{00000000-0005-0000-0000-0000E5040000}"/>
    <cellStyle name="Comma 17 6 2 2 2 3" xfId="8316" xr:uid="{00000000-0005-0000-0000-0000E6040000}"/>
    <cellStyle name="Comma 17 6 2 2 3" xfId="3234" xr:uid="{00000000-0005-0000-0000-0000E7040000}"/>
    <cellStyle name="Comma 17 6 2 2 3 2" xfId="6537" xr:uid="{00000000-0005-0000-0000-0000E8040000}"/>
    <cellStyle name="Comma 17 6 2 2 3 2 2" xfId="11851" xr:uid="{00000000-0005-0000-0000-0000E9040000}"/>
    <cellStyle name="Comma 17 6 2 2 3 3" xfId="9193" xr:uid="{00000000-0005-0000-0000-0000EA040000}"/>
    <cellStyle name="Comma 17 6 2 2 4" xfId="4715" xr:uid="{00000000-0005-0000-0000-0000EB040000}"/>
    <cellStyle name="Comma 17 6 2 2 4 2" xfId="10097" xr:uid="{00000000-0005-0000-0000-0000EC040000}"/>
    <cellStyle name="Comma 17 6 2 2 5" xfId="7439" xr:uid="{00000000-0005-0000-0000-0000ED040000}"/>
    <cellStyle name="Comma 17 6 2 3" xfId="1875" xr:uid="{00000000-0005-0000-0000-0000EE040000}"/>
    <cellStyle name="Comma 17 6 2 3 2" xfId="5224" xr:uid="{00000000-0005-0000-0000-0000EF040000}"/>
    <cellStyle name="Comma 17 6 2 3 2 2" xfId="10538" xr:uid="{00000000-0005-0000-0000-0000F0040000}"/>
    <cellStyle name="Comma 17 6 2 3 3" xfId="7880" xr:uid="{00000000-0005-0000-0000-0000F1040000}"/>
    <cellStyle name="Comma 17 6 2 4" xfId="2796" xr:uid="{00000000-0005-0000-0000-0000F2040000}"/>
    <cellStyle name="Comma 17 6 2 4 2" xfId="6101" xr:uid="{00000000-0005-0000-0000-0000F3040000}"/>
    <cellStyle name="Comma 17 6 2 4 2 2" xfId="11415" xr:uid="{00000000-0005-0000-0000-0000F4040000}"/>
    <cellStyle name="Comma 17 6 2 4 3" xfId="8757" xr:uid="{00000000-0005-0000-0000-0000F5040000}"/>
    <cellStyle name="Comma 17 6 2 5" xfId="4030" xr:uid="{00000000-0005-0000-0000-0000F6040000}"/>
    <cellStyle name="Comma 17 6 2 5 2" xfId="9661" xr:uid="{00000000-0005-0000-0000-0000F7040000}"/>
    <cellStyle name="Comma 17 6 2 6" xfId="7003" xr:uid="{00000000-0005-0000-0000-0000F8040000}"/>
    <cellStyle name="Comma 17 6 3" xfId="1001" xr:uid="{00000000-0005-0000-0000-0000F9040000}"/>
    <cellStyle name="Comma 17 6 3 2" xfId="2113" xr:uid="{00000000-0005-0000-0000-0000FA040000}"/>
    <cellStyle name="Comma 17 6 3 2 2" xfId="5460" xr:uid="{00000000-0005-0000-0000-0000FB040000}"/>
    <cellStyle name="Comma 17 6 3 2 2 2" xfId="10774" xr:uid="{00000000-0005-0000-0000-0000FC040000}"/>
    <cellStyle name="Comma 17 6 3 2 3" xfId="8116" xr:uid="{00000000-0005-0000-0000-0000FD040000}"/>
    <cellStyle name="Comma 17 6 3 3" xfId="3034" xr:uid="{00000000-0005-0000-0000-0000FE040000}"/>
    <cellStyle name="Comma 17 6 3 3 2" xfId="6337" xr:uid="{00000000-0005-0000-0000-0000FF040000}"/>
    <cellStyle name="Comma 17 6 3 3 2 2" xfId="11651" xr:uid="{00000000-0005-0000-0000-000000050000}"/>
    <cellStyle name="Comma 17 6 3 3 3" xfId="8993" xr:uid="{00000000-0005-0000-0000-000001050000}"/>
    <cellStyle name="Comma 17 6 3 4" xfId="4393" xr:uid="{00000000-0005-0000-0000-000002050000}"/>
    <cellStyle name="Comma 17 6 3 4 2" xfId="9897" xr:uid="{00000000-0005-0000-0000-000003050000}"/>
    <cellStyle name="Comma 17 6 3 5" xfId="7239" xr:uid="{00000000-0005-0000-0000-000004050000}"/>
    <cellStyle name="Comma 17 6 4" xfId="1675" xr:uid="{00000000-0005-0000-0000-000005050000}"/>
    <cellStyle name="Comma 17 6 4 2" xfId="5024" xr:uid="{00000000-0005-0000-0000-000006050000}"/>
    <cellStyle name="Comma 17 6 4 2 2" xfId="10338" xr:uid="{00000000-0005-0000-0000-000007050000}"/>
    <cellStyle name="Comma 17 6 4 3" xfId="7680" xr:uid="{00000000-0005-0000-0000-000008050000}"/>
    <cellStyle name="Comma 17 6 5" xfId="2596" xr:uid="{00000000-0005-0000-0000-000009050000}"/>
    <cellStyle name="Comma 17 6 5 2" xfId="5901" xr:uid="{00000000-0005-0000-0000-00000A050000}"/>
    <cellStyle name="Comma 17 6 5 2 2" xfId="11215" xr:uid="{00000000-0005-0000-0000-00000B050000}"/>
    <cellStyle name="Comma 17 6 5 3" xfId="8557" xr:uid="{00000000-0005-0000-0000-00000C050000}"/>
    <cellStyle name="Comma 17 6 6" xfId="3708" xr:uid="{00000000-0005-0000-0000-00000D050000}"/>
    <cellStyle name="Comma 17 6 6 2" xfId="9461" xr:uid="{00000000-0005-0000-0000-00000E050000}"/>
    <cellStyle name="Comma 17 6 7" xfId="6803" xr:uid="{00000000-0005-0000-0000-00000F050000}"/>
    <cellStyle name="Comma 17 7" xfId="488" xr:uid="{00000000-0005-0000-0000-000010050000}"/>
    <cellStyle name="Comma 17 7 2" xfId="1175" xr:uid="{00000000-0005-0000-0000-000011050000}"/>
    <cellStyle name="Comma 17 7 2 2" xfId="2224" xr:uid="{00000000-0005-0000-0000-000012050000}"/>
    <cellStyle name="Comma 17 7 2 2 2" xfId="5571" xr:uid="{00000000-0005-0000-0000-000013050000}"/>
    <cellStyle name="Comma 17 7 2 2 2 2" xfId="10885" xr:uid="{00000000-0005-0000-0000-000014050000}"/>
    <cellStyle name="Comma 17 7 2 2 3" xfId="8227" xr:uid="{00000000-0005-0000-0000-000015050000}"/>
    <cellStyle name="Comma 17 7 2 3" xfId="3145" xr:uid="{00000000-0005-0000-0000-000016050000}"/>
    <cellStyle name="Comma 17 7 2 3 2" xfId="6448" xr:uid="{00000000-0005-0000-0000-000017050000}"/>
    <cellStyle name="Comma 17 7 2 3 2 2" xfId="11762" xr:uid="{00000000-0005-0000-0000-000018050000}"/>
    <cellStyle name="Comma 17 7 2 3 3" xfId="9104" xr:uid="{00000000-0005-0000-0000-000019050000}"/>
    <cellStyle name="Comma 17 7 2 4" xfId="4567" xr:uid="{00000000-0005-0000-0000-00001A050000}"/>
    <cellStyle name="Comma 17 7 2 4 2" xfId="10008" xr:uid="{00000000-0005-0000-0000-00001B050000}"/>
    <cellStyle name="Comma 17 7 2 5" xfId="7350" xr:uid="{00000000-0005-0000-0000-00001C050000}"/>
    <cellStyle name="Comma 17 7 3" xfId="1786" xr:uid="{00000000-0005-0000-0000-00001D050000}"/>
    <cellStyle name="Comma 17 7 3 2" xfId="5135" xr:uid="{00000000-0005-0000-0000-00001E050000}"/>
    <cellStyle name="Comma 17 7 3 2 2" xfId="10449" xr:uid="{00000000-0005-0000-0000-00001F050000}"/>
    <cellStyle name="Comma 17 7 3 3" xfId="7791" xr:uid="{00000000-0005-0000-0000-000020050000}"/>
    <cellStyle name="Comma 17 7 4" xfId="2707" xr:uid="{00000000-0005-0000-0000-000021050000}"/>
    <cellStyle name="Comma 17 7 4 2" xfId="6012" xr:uid="{00000000-0005-0000-0000-000022050000}"/>
    <cellStyle name="Comma 17 7 4 2 2" xfId="11326" xr:uid="{00000000-0005-0000-0000-000023050000}"/>
    <cellStyle name="Comma 17 7 4 3" xfId="8668" xr:uid="{00000000-0005-0000-0000-000024050000}"/>
    <cellStyle name="Comma 17 7 5" xfId="3882" xr:uid="{00000000-0005-0000-0000-000025050000}"/>
    <cellStyle name="Comma 17 7 5 2" xfId="9572" xr:uid="{00000000-0005-0000-0000-000026050000}"/>
    <cellStyle name="Comma 17 7 6" xfId="6914" xr:uid="{00000000-0005-0000-0000-000027050000}"/>
    <cellStyle name="Comma 17 8" xfId="853" xr:uid="{00000000-0005-0000-0000-000028050000}"/>
    <cellStyle name="Comma 17 8 2" xfId="2024" xr:uid="{00000000-0005-0000-0000-000029050000}"/>
    <cellStyle name="Comma 17 8 2 2" xfId="5371" xr:uid="{00000000-0005-0000-0000-00002A050000}"/>
    <cellStyle name="Comma 17 8 2 2 2" xfId="10685" xr:uid="{00000000-0005-0000-0000-00002B050000}"/>
    <cellStyle name="Comma 17 8 2 3" xfId="8027" xr:uid="{00000000-0005-0000-0000-00002C050000}"/>
    <cellStyle name="Comma 17 8 3" xfId="2945" xr:uid="{00000000-0005-0000-0000-00002D050000}"/>
    <cellStyle name="Comma 17 8 3 2" xfId="6248" xr:uid="{00000000-0005-0000-0000-00002E050000}"/>
    <cellStyle name="Comma 17 8 3 2 2" xfId="11562" xr:uid="{00000000-0005-0000-0000-00002F050000}"/>
    <cellStyle name="Comma 17 8 3 3" xfId="8904" xr:uid="{00000000-0005-0000-0000-000030050000}"/>
    <cellStyle name="Comma 17 8 4" xfId="4245" xr:uid="{00000000-0005-0000-0000-000031050000}"/>
    <cellStyle name="Comma 17 8 4 2" xfId="9808" xr:uid="{00000000-0005-0000-0000-000032050000}"/>
    <cellStyle name="Comma 17 8 5" xfId="7150" xr:uid="{00000000-0005-0000-0000-000033050000}"/>
    <cellStyle name="Comma 17 9" xfId="1548" xr:uid="{00000000-0005-0000-0000-000034050000}"/>
    <cellStyle name="Comma 17 9 2" xfId="4935" xr:uid="{00000000-0005-0000-0000-000035050000}"/>
    <cellStyle name="Comma 17 9 2 2" xfId="10249" xr:uid="{00000000-0005-0000-0000-000036050000}"/>
    <cellStyle name="Comma 17 9 3" xfId="7591" xr:uid="{00000000-0005-0000-0000-000037050000}"/>
    <cellStyle name="Comma 18" xfId="6" xr:uid="{00000000-0005-0000-0000-000038050000}"/>
    <cellStyle name="Comma 18 2" xfId="7" xr:uid="{00000000-0005-0000-0000-000039050000}"/>
    <cellStyle name="Comma 18 2 2" xfId="127" xr:uid="{00000000-0005-0000-0000-00003A050000}"/>
    <cellStyle name="Comma 18 2 2 2" xfId="333" xr:uid="{00000000-0005-0000-0000-00003B050000}"/>
    <cellStyle name="Comma 18 2 2 2 2" xfId="656" xr:uid="{00000000-0005-0000-0000-00003C050000}"/>
    <cellStyle name="Comma 18 2 2 2 2 2" xfId="1343" xr:uid="{00000000-0005-0000-0000-00003D050000}"/>
    <cellStyle name="Comma 18 2 2 2 2 2 2" xfId="4735" xr:uid="{00000000-0005-0000-0000-00003E050000}"/>
    <cellStyle name="Comma 18 2 2 2 2 3" xfId="4050" xr:uid="{00000000-0005-0000-0000-00003F050000}"/>
    <cellStyle name="Comma 18 2 2 2 3" xfId="1021" xr:uid="{00000000-0005-0000-0000-000040050000}"/>
    <cellStyle name="Comma 18 2 2 2 3 2" xfId="4413" xr:uid="{00000000-0005-0000-0000-000041050000}"/>
    <cellStyle name="Comma 18 2 2 2 4" xfId="3728" xr:uid="{00000000-0005-0000-0000-000042050000}"/>
    <cellStyle name="Comma 18 2 2 3" xfId="508" xr:uid="{00000000-0005-0000-0000-000043050000}"/>
    <cellStyle name="Comma 18 2 2 3 2" xfId="1195" xr:uid="{00000000-0005-0000-0000-000044050000}"/>
    <cellStyle name="Comma 18 2 2 3 2 2" xfId="4587" xr:uid="{00000000-0005-0000-0000-000045050000}"/>
    <cellStyle name="Comma 18 2 2 3 3" xfId="3902" xr:uid="{00000000-0005-0000-0000-000046050000}"/>
    <cellStyle name="Comma 18 2 2 4" xfId="873" xr:uid="{00000000-0005-0000-0000-000047050000}"/>
    <cellStyle name="Comma 18 2 2 4 2" xfId="4265" xr:uid="{00000000-0005-0000-0000-000048050000}"/>
    <cellStyle name="Comma 18 2 2 5" xfId="3580" xr:uid="{00000000-0005-0000-0000-000049050000}"/>
    <cellStyle name="Comma 18 2 3" xfId="126" xr:uid="{00000000-0005-0000-0000-00004A050000}"/>
    <cellStyle name="Comma 18 2 3 2" xfId="332" xr:uid="{00000000-0005-0000-0000-00004B050000}"/>
    <cellStyle name="Comma 18 2 3 2 2" xfId="655" xr:uid="{00000000-0005-0000-0000-00004C050000}"/>
    <cellStyle name="Comma 18 2 3 2 2 2" xfId="1342" xr:uid="{00000000-0005-0000-0000-00004D050000}"/>
    <cellStyle name="Comma 18 2 3 2 2 2 2" xfId="4734" xr:uid="{00000000-0005-0000-0000-00004E050000}"/>
    <cellStyle name="Comma 18 2 3 2 2 3" xfId="4049" xr:uid="{00000000-0005-0000-0000-00004F050000}"/>
    <cellStyle name="Comma 18 2 3 2 3" xfId="1020" xr:uid="{00000000-0005-0000-0000-000050050000}"/>
    <cellStyle name="Comma 18 2 3 2 3 2" xfId="4412" xr:uid="{00000000-0005-0000-0000-000051050000}"/>
    <cellStyle name="Comma 18 2 3 2 4" xfId="3727" xr:uid="{00000000-0005-0000-0000-000052050000}"/>
    <cellStyle name="Comma 18 2 3 3" xfId="507" xr:uid="{00000000-0005-0000-0000-000053050000}"/>
    <cellStyle name="Comma 18 2 3 3 2" xfId="1194" xr:uid="{00000000-0005-0000-0000-000054050000}"/>
    <cellStyle name="Comma 18 2 3 3 2 2" xfId="4586" xr:uid="{00000000-0005-0000-0000-000055050000}"/>
    <cellStyle name="Comma 18 2 3 3 3" xfId="3901" xr:uid="{00000000-0005-0000-0000-000056050000}"/>
    <cellStyle name="Comma 18 2 3 4" xfId="872" xr:uid="{00000000-0005-0000-0000-000057050000}"/>
    <cellStyle name="Comma 18 2 3 4 2" xfId="4264" xr:uid="{00000000-0005-0000-0000-000058050000}"/>
    <cellStyle name="Comma 18 2 3 5" xfId="3579" xr:uid="{00000000-0005-0000-0000-000059050000}"/>
    <cellStyle name="Comma 18 2 4" xfId="84" xr:uid="{00000000-0005-0000-0000-00005A050000}"/>
    <cellStyle name="Comma 18 2 4 2" xfId="1557" xr:uid="{00000000-0005-0000-0000-00005B050000}"/>
    <cellStyle name="Comma 18 2 4 3" xfId="2479" xr:uid="{00000000-0005-0000-0000-00005C050000}"/>
    <cellStyle name="Comma 18 2 5" xfId="827" xr:uid="{00000000-0005-0000-0000-00005D050000}"/>
    <cellStyle name="Comma 18 2 5 2" xfId="1513" xr:uid="{00000000-0005-0000-0000-00005E050000}"/>
    <cellStyle name="Comma 18 2 5 2 2" xfId="4905" xr:uid="{00000000-0005-0000-0000-00005F050000}"/>
    <cellStyle name="Comma 18 2 5 3" xfId="4220" xr:uid="{00000000-0005-0000-0000-000060050000}"/>
    <cellStyle name="Comma 18 3" xfId="8" xr:uid="{00000000-0005-0000-0000-000061050000}"/>
    <cellStyle name="Comma 18 3 2" xfId="129" xr:uid="{00000000-0005-0000-0000-000062050000}"/>
    <cellStyle name="Comma 18 3 2 2" xfId="335" xr:uid="{00000000-0005-0000-0000-000063050000}"/>
    <cellStyle name="Comma 18 3 2 2 2" xfId="658" xr:uid="{00000000-0005-0000-0000-000064050000}"/>
    <cellStyle name="Comma 18 3 2 2 2 2" xfId="1345" xr:uid="{00000000-0005-0000-0000-000065050000}"/>
    <cellStyle name="Comma 18 3 2 2 2 2 2" xfId="4737" xr:uid="{00000000-0005-0000-0000-000066050000}"/>
    <cellStyle name="Comma 18 3 2 2 2 3" xfId="4052" xr:uid="{00000000-0005-0000-0000-000067050000}"/>
    <cellStyle name="Comma 18 3 2 2 3" xfId="1023" xr:uid="{00000000-0005-0000-0000-000068050000}"/>
    <cellStyle name="Comma 18 3 2 2 3 2" xfId="4415" xr:uid="{00000000-0005-0000-0000-000069050000}"/>
    <cellStyle name="Comma 18 3 2 2 4" xfId="3730" xr:uid="{00000000-0005-0000-0000-00006A050000}"/>
    <cellStyle name="Comma 18 3 2 3" xfId="510" xr:uid="{00000000-0005-0000-0000-00006B050000}"/>
    <cellStyle name="Comma 18 3 2 3 2" xfId="1197" xr:uid="{00000000-0005-0000-0000-00006C050000}"/>
    <cellStyle name="Comma 18 3 2 3 2 2" xfId="4589" xr:uid="{00000000-0005-0000-0000-00006D050000}"/>
    <cellStyle name="Comma 18 3 2 3 3" xfId="3904" xr:uid="{00000000-0005-0000-0000-00006E050000}"/>
    <cellStyle name="Comma 18 3 2 4" xfId="875" xr:uid="{00000000-0005-0000-0000-00006F050000}"/>
    <cellStyle name="Comma 18 3 2 4 2" xfId="4267" xr:uid="{00000000-0005-0000-0000-000070050000}"/>
    <cellStyle name="Comma 18 3 2 5" xfId="3582" xr:uid="{00000000-0005-0000-0000-000071050000}"/>
    <cellStyle name="Comma 18 3 3" xfId="128" xr:uid="{00000000-0005-0000-0000-000072050000}"/>
    <cellStyle name="Comma 18 3 3 2" xfId="334" xr:uid="{00000000-0005-0000-0000-000073050000}"/>
    <cellStyle name="Comma 18 3 3 2 2" xfId="657" xr:uid="{00000000-0005-0000-0000-000074050000}"/>
    <cellStyle name="Comma 18 3 3 2 2 2" xfId="1344" xr:uid="{00000000-0005-0000-0000-000075050000}"/>
    <cellStyle name="Comma 18 3 3 2 2 2 2" xfId="4736" xr:uid="{00000000-0005-0000-0000-000076050000}"/>
    <cellStyle name="Comma 18 3 3 2 2 3" xfId="4051" xr:uid="{00000000-0005-0000-0000-000077050000}"/>
    <cellStyle name="Comma 18 3 3 2 3" xfId="1022" xr:uid="{00000000-0005-0000-0000-000078050000}"/>
    <cellStyle name="Comma 18 3 3 2 3 2" xfId="4414" xr:uid="{00000000-0005-0000-0000-000079050000}"/>
    <cellStyle name="Comma 18 3 3 2 4" xfId="3729" xr:uid="{00000000-0005-0000-0000-00007A050000}"/>
    <cellStyle name="Comma 18 3 3 3" xfId="509" xr:uid="{00000000-0005-0000-0000-00007B050000}"/>
    <cellStyle name="Comma 18 3 3 3 2" xfId="1196" xr:uid="{00000000-0005-0000-0000-00007C050000}"/>
    <cellStyle name="Comma 18 3 3 3 2 2" xfId="4588" xr:uid="{00000000-0005-0000-0000-00007D050000}"/>
    <cellStyle name="Comma 18 3 3 3 3" xfId="3903" xr:uid="{00000000-0005-0000-0000-00007E050000}"/>
    <cellStyle name="Comma 18 3 3 4" xfId="874" xr:uid="{00000000-0005-0000-0000-00007F050000}"/>
    <cellStyle name="Comma 18 3 3 4 2" xfId="4266" xr:uid="{00000000-0005-0000-0000-000080050000}"/>
    <cellStyle name="Comma 18 3 3 5" xfId="3581" xr:uid="{00000000-0005-0000-0000-000081050000}"/>
    <cellStyle name="Comma 18 3 4" xfId="85" xr:uid="{00000000-0005-0000-0000-000082050000}"/>
    <cellStyle name="Comma 18 3 4 2" xfId="1558" xr:uid="{00000000-0005-0000-0000-000083050000}"/>
    <cellStyle name="Comma 18 3 4 3" xfId="2480" xr:uid="{00000000-0005-0000-0000-000084050000}"/>
    <cellStyle name="Comma 18 4" xfId="130" xr:uid="{00000000-0005-0000-0000-000085050000}"/>
    <cellStyle name="Comma 18 4 2" xfId="336" xr:uid="{00000000-0005-0000-0000-000086050000}"/>
    <cellStyle name="Comma 18 4 2 2" xfId="659" xr:uid="{00000000-0005-0000-0000-000087050000}"/>
    <cellStyle name="Comma 18 4 2 2 2" xfId="1346" xr:uid="{00000000-0005-0000-0000-000088050000}"/>
    <cellStyle name="Comma 18 4 2 2 2 2" xfId="4738" xr:uid="{00000000-0005-0000-0000-000089050000}"/>
    <cellStyle name="Comma 18 4 2 2 3" xfId="4053" xr:uid="{00000000-0005-0000-0000-00008A050000}"/>
    <cellStyle name="Comma 18 4 2 3" xfId="1024" xr:uid="{00000000-0005-0000-0000-00008B050000}"/>
    <cellStyle name="Comma 18 4 2 3 2" xfId="4416" xr:uid="{00000000-0005-0000-0000-00008C050000}"/>
    <cellStyle name="Comma 18 4 2 4" xfId="3731" xr:uid="{00000000-0005-0000-0000-00008D050000}"/>
    <cellStyle name="Comma 18 4 3" xfId="511" xr:uid="{00000000-0005-0000-0000-00008E050000}"/>
    <cellStyle name="Comma 18 4 3 2" xfId="1198" xr:uid="{00000000-0005-0000-0000-00008F050000}"/>
    <cellStyle name="Comma 18 4 3 2 2" xfId="4590" xr:uid="{00000000-0005-0000-0000-000090050000}"/>
    <cellStyle name="Comma 18 4 3 3" xfId="3905" xr:uid="{00000000-0005-0000-0000-000091050000}"/>
    <cellStyle name="Comma 18 4 4" xfId="876" xr:uid="{00000000-0005-0000-0000-000092050000}"/>
    <cellStyle name="Comma 18 4 4 2" xfId="4268" xr:uid="{00000000-0005-0000-0000-000093050000}"/>
    <cellStyle name="Comma 18 4 5" xfId="3583" xr:uid="{00000000-0005-0000-0000-000094050000}"/>
    <cellStyle name="Comma 18 5" xfId="125" xr:uid="{00000000-0005-0000-0000-000095050000}"/>
    <cellStyle name="Comma 18 5 2" xfId="331" xr:uid="{00000000-0005-0000-0000-000096050000}"/>
    <cellStyle name="Comma 18 5 2 2" xfId="654" xr:uid="{00000000-0005-0000-0000-000097050000}"/>
    <cellStyle name="Comma 18 5 2 2 2" xfId="1341" xr:uid="{00000000-0005-0000-0000-000098050000}"/>
    <cellStyle name="Comma 18 5 2 2 2 2" xfId="4733" xr:uid="{00000000-0005-0000-0000-000099050000}"/>
    <cellStyle name="Comma 18 5 2 2 3" xfId="4048" xr:uid="{00000000-0005-0000-0000-00009A050000}"/>
    <cellStyle name="Comma 18 5 2 3" xfId="1019" xr:uid="{00000000-0005-0000-0000-00009B050000}"/>
    <cellStyle name="Comma 18 5 2 3 2" xfId="4411" xr:uid="{00000000-0005-0000-0000-00009C050000}"/>
    <cellStyle name="Comma 18 5 2 4" xfId="3726" xr:uid="{00000000-0005-0000-0000-00009D050000}"/>
    <cellStyle name="Comma 18 5 3" xfId="506" xr:uid="{00000000-0005-0000-0000-00009E050000}"/>
    <cellStyle name="Comma 18 5 3 2" xfId="1193" xr:uid="{00000000-0005-0000-0000-00009F050000}"/>
    <cellStyle name="Comma 18 5 3 2 2" xfId="4585" xr:uid="{00000000-0005-0000-0000-0000A0050000}"/>
    <cellStyle name="Comma 18 5 3 3" xfId="3900" xr:uid="{00000000-0005-0000-0000-0000A1050000}"/>
    <cellStyle name="Comma 18 5 4" xfId="871" xr:uid="{00000000-0005-0000-0000-0000A2050000}"/>
    <cellStyle name="Comma 18 5 4 2" xfId="4263" xr:uid="{00000000-0005-0000-0000-0000A3050000}"/>
    <cellStyle name="Comma 18 5 5" xfId="3578" xr:uid="{00000000-0005-0000-0000-0000A4050000}"/>
    <cellStyle name="Comma 18 6" xfId="83" xr:uid="{00000000-0005-0000-0000-0000A5050000}"/>
    <cellStyle name="Comma 18 6 2" xfId="1556" xr:uid="{00000000-0005-0000-0000-0000A6050000}"/>
    <cellStyle name="Comma 18 6 3" xfId="2478" xr:uid="{00000000-0005-0000-0000-0000A7050000}"/>
    <cellStyle name="Comma 19" xfId="194" xr:uid="{00000000-0005-0000-0000-0000A8050000}"/>
    <cellStyle name="Comma 19 2" xfId="453" xr:uid="{00000000-0005-0000-0000-0000A9050000}"/>
    <cellStyle name="Comma 19 2 2" xfId="775" xr:uid="{00000000-0005-0000-0000-0000AA050000}"/>
    <cellStyle name="Comma 19 2 2 2" xfId="1462" xr:uid="{00000000-0005-0000-0000-0000AB050000}"/>
    <cellStyle name="Comma 19 2 2 2 2" xfId="4854" xr:uid="{00000000-0005-0000-0000-0000AC050000}"/>
    <cellStyle name="Comma 19 2 2 3" xfId="4169" xr:uid="{00000000-0005-0000-0000-0000AD050000}"/>
    <cellStyle name="Comma 19 2 3" xfId="1140" xr:uid="{00000000-0005-0000-0000-0000AE050000}"/>
    <cellStyle name="Comma 19 2 3 2" xfId="4532" xr:uid="{00000000-0005-0000-0000-0000AF050000}"/>
    <cellStyle name="Comma 19 2 4" xfId="3847" xr:uid="{00000000-0005-0000-0000-0000B0050000}"/>
    <cellStyle name="Comma 19 3" xfId="394" xr:uid="{00000000-0005-0000-0000-0000B1050000}"/>
    <cellStyle name="Comma 19 3 2" xfId="717" xr:uid="{00000000-0005-0000-0000-0000B2050000}"/>
    <cellStyle name="Comma 19 3 2 2" xfId="1404" xr:uid="{00000000-0005-0000-0000-0000B3050000}"/>
    <cellStyle name="Comma 19 3 2 2 2" xfId="4796" xr:uid="{00000000-0005-0000-0000-0000B4050000}"/>
    <cellStyle name="Comma 19 3 2 3" xfId="4111" xr:uid="{00000000-0005-0000-0000-0000B5050000}"/>
    <cellStyle name="Comma 19 3 3" xfId="1082" xr:uid="{00000000-0005-0000-0000-0000B6050000}"/>
    <cellStyle name="Comma 19 3 3 2" xfId="4474" xr:uid="{00000000-0005-0000-0000-0000B7050000}"/>
    <cellStyle name="Comma 19 3 4" xfId="3789" xr:uid="{00000000-0005-0000-0000-0000B8050000}"/>
    <cellStyle name="Comma 19 4" xfId="1604" xr:uid="{00000000-0005-0000-0000-0000B9050000}"/>
    <cellStyle name="Comma 2" xfId="9" xr:uid="{00000000-0005-0000-0000-0000BA050000}"/>
    <cellStyle name="Comma 2 2" xfId="10" xr:uid="{00000000-0005-0000-0000-0000BB050000}"/>
    <cellStyle name="Comma 2 2 2" xfId="11" xr:uid="{00000000-0005-0000-0000-0000BC050000}"/>
    <cellStyle name="Comma 2 2 2 2" xfId="12" xr:uid="{00000000-0005-0000-0000-0000BD050000}"/>
    <cellStyle name="Comma 2 2 2 2 2" xfId="3445" xr:uid="{00000000-0005-0000-0000-0000BE050000}"/>
    <cellStyle name="Comma 2 2 2 3" xfId="132" xr:uid="{00000000-0005-0000-0000-0000BF050000}"/>
    <cellStyle name="Comma 2 2 2 3 2" xfId="338" xr:uid="{00000000-0005-0000-0000-0000C0050000}"/>
    <cellStyle name="Comma 2 2 2 3 2 2" xfId="661" xr:uid="{00000000-0005-0000-0000-0000C1050000}"/>
    <cellStyle name="Comma 2 2 2 3 2 2 2" xfId="1348" xr:uid="{00000000-0005-0000-0000-0000C2050000}"/>
    <cellStyle name="Comma 2 2 2 3 2 2 2 2" xfId="4740" xr:uid="{00000000-0005-0000-0000-0000C3050000}"/>
    <cellStyle name="Comma 2 2 2 3 2 2 3" xfId="4055" xr:uid="{00000000-0005-0000-0000-0000C4050000}"/>
    <cellStyle name="Comma 2 2 2 3 2 3" xfId="1026" xr:uid="{00000000-0005-0000-0000-0000C5050000}"/>
    <cellStyle name="Comma 2 2 2 3 2 3 2" xfId="4418" xr:uid="{00000000-0005-0000-0000-0000C6050000}"/>
    <cellStyle name="Comma 2 2 2 3 2 4" xfId="3733" xr:uid="{00000000-0005-0000-0000-0000C7050000}"/>
    <cellStyle name="Comma 2 2 2 3 3" xfId="513" xr:uid="{00000000-0005-0000-0000-0000C8050000}"/>
    <cellStyle name="Comma 2 2 2 3 3 2" xfId="1200" xr:uid="{00000000-0005-0000-0000-0000C9050000}"/>
    <cellStyle name="Comma 2 2 2 3 3 2 2" xfId="4592" xr:uid="{00000000-0005-0000-0000-0000CA050000}"/>
    <cellStyle name="Comma 2 2 2 3 3 3" xfId="3907" xr:uid="{00000000-0005-0000-0000-0000CB050000}"/>
    <cellStyle name="Comma 2 2 2 3 4" xfId="878" xr:uid="{00000000-0005-0000-0000-0000CC050000}"/>
    <cellStyle name="Comma 2 2 2 3 4 2" xfId="4270" xr:uid="{00000000-0005-0000-0000-0000CD050000}"/>
    <cellStyle name="Comma 2 2 2 3 5" xfId="3446" xr:uid="{00000000-0005-0000-0000-0000CE050000}"/>
    <cellStyle name="Comma 2 2 2 3 6" xfId="3585" xr:uid="{00000000-0005-0000-0000-0000CF050000}"/>
    <cellStyle name="Comma 2 2 2 4" xfId="131" xr:uid="{00000000-0005-0000-0000-0000D0050000}"/>
    <cellStyle name="Comma 2 2 2 4 2" xfId="337" xr:uid="{00000000-0005-0000-0000-0000D1050000}"/>
    <cellStyle name="Comma 2 2 2 4 2 2" xfId="660" xr:uid="{00000000-0005-0000-0000-0000D2050000}"/>
    <cellStyle name="Comma 2 2 2 4 2 2 2" xfId="1347" xr:uid="{00000000-0005-0000-0000-0000D3050000}"/>
    <cellStyle name="Comma 2 2 2 4 2 2 2 2" xfId="4739" xr:uid="{00000000-0005-0000-0000-0000D4050000}"/>
    <cellStyle name="Comma 2 2 2 4 2 2 3" xfId="4054" xr:uid="{00000000-0005-0000-0000-0000D5050000}"/>
    <cellStyle name="Comma 2 2 2 4 2 3" xfId="1025" xr:uid="{00000000-0005-0000-0000-0000D6050000}"/>
    <cellStyle name="Comma 2 2 2 4 2 3 2" xfId="4417" xr:uid="{00000000-0005-0000-0000-0000D7050000}"/>
    <cellStyle name="Comma 2 2 2 4 2 4" xfId="3732" xr:uid="{00000000-0005-0000-0000-0000D8050000}"/>
    <cellStyle name="Comma 2 2 2 4 3" xfId="512" xr:uid="{00000000-0005-0000-0000-0000D9050000}"/>
    <cellStyle name="Comma 2 2 2 4 3 2" xfId="1199" xr:uid="{00000000-0005-0000-0000-0000DA050000}"/>
    <cellStyle name="Comma 2 2 2 4 3 2 2" xfId="4591" xr:uid="{00000000-0005-0000-0000-0000DB050000}"/>
    <cellStyle name="Comma 2 2 2 4 3 3" xfId="3906" xr:uid="{00000000-0005-0000-0000-0000DC050000}"/>
    <cellStyle name="Comma 2 2 2 4 4" xfId="877" xr:uid="{00000000-0005-0000-0000-0000DD050000}"/>
    <cellStyle name="Comma 2 2 2 4 4 2" xfId="4269" xr:uid="{00000000-0005-0000-0000-0000DE050000}"/>
    <cellStyle name="Comma 2 2 2 4 5" xfId="3584" xr:uid="{00000000-0005-0000-0000-0000DF050000}"/>
    <cellStyle name="Comma 2 2 2 5" xfId="87" xr:uid="{00000000-0005-0000-0000-0000E0050000}"/>
    <cellStyle name="Comma 2 2 2 5 2" xfId="1560" xr:uid="{00000000-0005-0000-0000-0000E1050000}"/>
    <cellStyle name="Comma 2 2 2 5 3" xfId="2482" xr:uid="{00000000-0005-0000-0000-0000E2050000}"/>
    <cellStyle name="Comma 2 2 2 6" xfId="3444" xr:uid="{00000000-0005-0000-0000-0000E3050000}"/>
    <cellStyle name="Comma 2 2 3" xfId="13" xr:uid="{00000000-0005-0000-0000-0000E4050000}"/>
    <cellStyle name="Comma 2 2 3 2" xfId="134" xr:uid="{00000000-0005-0000-0000-0000E5050000}"/>
    <cellStyle name="Comma 2 2 3 2 2" xfId="450" xr:uid="{00000000-0005-0000-0000-0000E6050000}"/>
    <cellStyle name="Comma 2 2 3 2 2 2" xfId="772" xr:uid="{00000000-0005-0000-0000-0000E7050000}"/>
    <cellStyle name="Comma 2 2 3 2 2 2 2" xfId="1459" xr:uid="{00000000-0005-0000-0000-0000E8050000}"/>
    <cellStyle name="Comma 2 2 3 2 2 2 2 2" xfId="4851" xr:uid="{00000000-0005-0000-0000-0000E9050000}"/>
    <cellStyle name="Comma 2 2 3 2 2 2 3" xfId="4166" xr:uid="{00000000-0005-0000-0000-0000EA050000}"/>
    <cellStyle name="Comma 2 2 3 2 2 3" xfId="1137" xr:uid="{00000000-0005-0000-0000-0000EB050000}"/>
    <cellStyle name="Comma 2 2 3 2 2 3 2" xfId="4529" xr:uid="{00000000-0005-0000-0000-0000EC050000}"/>
    <cellStyle name="Comma 2 2 3 2 2 4" xfId="3844" xr:uid="{00000000-0005-0000-0000-0000ED050000}"/>
    <cellStyle name="Comma 2 2 3 2 3" xfId="340" xr:uid="{00000000-0005-0000-0000-0000EE050000}"/>
    <cellStyle name="Comma 2 2 3 2 3 2" xfId="663" xr:uid="{00000000-0005-0000-0000-0000EF050000}"/>
    <cellStyle name="Comma 2 2 3 2 3 2 2" xfId="1350" xr:uid="{00000000-0005-0000-0000-0000F0050000}"/>
    <cellStyle name="Comma 2 2 3 2 3 2 2 2" xfId="4742" xr:uid="{00000000-0005-0000-0000-0000F1050000}"/>
    <cellStyle name="Comma 2 2 3 2 3 2 3" xfId="4057" xr:uid="{00000000-0005-0000-0000-0000F2050000}"/>
    <cellStyle name="Comma 2 2 3 2 3 3" xfId="1028" xr:uid="{00000000-0005-0000-0000-0000F3050000}"/>
    <cellStyle name="Comma 2 2 3 2 3 3 2" xfId="4420" xr:uid="{00000000-0005-0000-0000-0000F4050000}"/>
    <cellStyle name="Comma 2 2 3 2 3 4" xfId="3735" xr:uid="{00000000-0005-0000-0000-0000F5050000}"/>
    <cellStyle name="Comma 2 2 3 2 4" xfId="515" xr:uid="{00000000-0005-0000-0000-0000F6050000}"/>
    <cellStyle name="Comma 2 2 3 2 4 2" xfId="1202" xr:uid="{00000000-0005-0000-0000-0000F7050000}"/>
    <cellStyle name="Comma 2 2 3 2 4 2 2" xfId="4594" xr:uid="{00000000-0005-0000-0000-0000F8050000}"/>
    <cellStyle name="Comma 2 2 3 2 4 3" xfId="3909" xr:uid="{00000000-0005-0000-0000-0000F9050000}"/>
    <cellStyle name="Comma 2 2 3 2 5" xfId="880" xr:uid="{00000000-0005-0000-0000-0000FA050000}"/>
    <cellStyle name="Comma 2 2 3 2 5 2" xfId="4272" xr:uid="{00000000-0005-0000-0000-0000FB050000}"/>
    <cellStyle name="Comma 2 2 3 2 6" xfId="3587" xr:uid="{00000000-0005-0000-0000-0000FC050000}"/>
    <cellStyle name="Comma 2 2 3 3" xfId="133" xr:uid="{00000000-0005-0000-0000-0000FD050000}"/>
    <cellStyle name="Comma 2 2 3 3 2" xfId="339" xr:uid="{00000000-0005-0000-0000-0000FE050000}"/>
    <cellStyle name="Comma 2 2 3 3 2 2" xfId="662" xr:uid="{00000000-0005-0000-0000-0000FF050000}"/>
    <cellStyle name="Comma 2 2 3 3 2 2 2" xfId="1349" xr:uid="{00000000-0005-0000-0000-000000060000}"/>
    <cellStyle name="Comma 2 2 3 3 2 2 2 2" xfId="4741" xr:uid="{00000000-0005-0000-0000-000001060000}"/>
    <cellStyle name="Comma 2 2 3 3 2 2 3" xfId="4056" xr:uid="{00000000-0005-0000-0000-000002060000}"/>
    <cellStyle name="Comma 2 2 3 3 2 3" xfId="1027" xr:uid="{00000000-0005-0000-0000-000003060000}"/>
    <cellStyle name="Comma 2 2 3 3 2 3 2" xfId="4419" xr:uid="{00000000-0005-0000-0000-000004060000}"/>
    <cellStyle name="Comma 2 2 3 3 2 4" xfId="3734" xr:uid="{00000000-0005-0000-0000-000005060000}"/>
    <cellStyle name="Comma 2 2 3 3 3" xfId="514" xr:uid="{00000000-0005-0000-0000-000006060000}"/>
    <cellStyle name="Comma 2 2 3 3 3 2" xfId="1201" xr:uid="{00000000-0005-0000-0000-000007060000}"/>
    <cellStyle name="Comma 2 2 3 3 3 2 2" xfId="4593" xr:uid="{00000000-0005-0000-0000-000008060000}"/>
    <cellStyle name="Comma 2 2 3 3 3 3" xfId="3908" xr:uid="{00000000-0005-0000-0000-000009060000}"/>
    <cellStyle name="Comma 2 2 3 3 4" xfId="879" xr:uid="{00000000-0005-0000-0000-00000A060000}"/>
    <cellStyle name="Comma 2 2 3 3 4 2" xfId="4271" xr:uid="{00000000-0005-0000-0000-00000B060000}"/>
    <cellStyle name="Comma 2 2 3 3 5" xfId="3586" xr:uid="{00000000-0005-0000-0000-00000C060000}"/>
    <cellStyle name="Comma 2 2 3 4" xfId="88" xr:uid="{00000000-0005-0000-0000-00000D060000}"/>
    <cellStyle name="Comma 2 2 3 4 2" xfId="1561" xr:uid="{00000000-0005-0000-0000-00000E060000}"/>
    <cellStyle name="Comma 2 2 3 4 3" xfId="2483" xr:uid="{00000000-0005-0000-0000-00000F060000}"/>
    <cellStyle name="Comma 2 2 3 5" xfId="825" xr:uid="{00000000-0005-0000-0000-000010060000}"/>
    <cellStyle name="Comma 2 2 3 5 2" xfId="1511" xr:uid="{00000000-0005-0000-0000-000011060000}"/>
    <cellStyle name="Comma 2 2 3 5 2 2" xfId="4903" xr:uid="{00000000-0005-0000-0000-000012060000}"/>
    <cellStyle name="Comma 2 2 3 5 3" xfId="4218" xr:uid="{00000000-0005-0000-0000-000013060000}"/>
    <cellStyle name="Comma 2 2 4" xfId="86" xr:uid="{00000000-0005-0000-0000-000014060000}"/>
    <cellStyle name="Comma 2 2 4 2" xfId="1559" xr:uid="{00000000-0005-0000-0000-000015060000}"/>
    <cellStyle name="Comma 2 2 4 3" xfId="2481" xr:uid="{00000000-0005-0000-0000-000016060000}"/>
    <cellStyle name="Comma 2 2 5" xfId="200" xr:uid="{00000000-0005-0000-0000-000017060000}"/>
    <cellStyle name="Comma 2 2 5 2" xfId="1609" xr:uid="{00000000-0005-0000-0000-000018060000}"/>
    <cellStyle name="Comma 2 2 5 3" xfId="2530" xr:uid="{00000000-0005-0000-0000-000019060000}"/>
    <cellStyle name="Comma 2 2 6" xfId="1539" xr:uid="{00000000-0005-0000-0000-00001A060000}"/>
    <cellStyle name="Comma 2 2 7" xfId="2461" xr:uid="{00000000-0005-0000-0000-00001B060000}"/>
    <cellStyle name="Comma 2 2 8" xfId="3443" xr:uid="{00000000-0005-0000-0000-00001C060000}"/>
    <cellStyle name="Comma 2 3" xfId="14" xr:uid="{00000000-0005-0000-0000-00001D060000}"/>
    <cellStyle name="Comma 2 3 2" xfId="15" xr:uid="{00000000-0005-0000-0000-00001E060000}"/>
    <cellStyle name="Comma 2 3 2 2" xfId="136" xr:uid="{00000000-0005-0000-0000-00001F060000}"/>
    <cellStyle name="Comma 2 3 2 2 2" xfId="342" xr:uid="{00000000-0005-0000-0000-000020060000}"/>
    <cellStyle name="Comma 2 3 2 2 2 2" xfId="665" xr:uid="{00000000-0005-0000-0000-000021060000}"/>
    <cellStyle name="Comma 2 3 2 2 2 2 2" xfId="1352" xr:uid="{00000000-0005-0000-0000-000022060000}"/>
    <cellStyle name="Comma 2 3 2 2 2 2 2 2" xfId="4744" xr:uid="{00000000-0005-0000-0000-000023060000}"/>
    <cellStyle name="Comma 2 3 2 2 2 2 3" xfId="4059" xr:uid="{00000000-0005-0000-0000-000024060000}"/>
    <cellStyle name="Comma 2 3 2 2 2 3" xfId="1030" xr:uid="{00000000-0005-0000-0000-000025060000}"/>
    <cellStyle name="Comma 2 3 2 2 2 3 2" xfId="4422" xr:uid="{00000000-0005-0000-0000-000026060000}"/>
    <cellStyle name="Comma 2 3 2 2 2 4" xfId="3737" xr:uid="{00000000-0005-0000-0000-000027060000}"/>
    <cellStyle name="Comma 2 3 2 2 3" xfId="517" xr:uid="{00000000-0005-0000-0000-000028060000}"/>
    <cellStyle name="Comma 2 3 2 2 3 2" xfId="1204" xr:uid="{00000000-0005-0000-0000-000029060000}"/>
    <cellStyle name="Comma 2 3 2 2 3 2 2" xfId="4596" xr:uid="{00000000-0005-0000-0000-00002A060000}"/>
    <cellStyle name="Comma 2 3 2 2 3 3" xfId="3911" xr:uid="{00000000-0005-0000-0000-00002B060000}"/>
    <cellStyle name="Comma 2 3 2 2 4" xfId="882" xr:uid="{00000000-0005-0000-0000-00002C060000}"/>
    <cellStyle name="Comma 2 3 2 2 4 2" xfId="4274" xr:uid="{00000000-0005-0000-0000-00002D060000}"/>
    <cellStyle name="Comma 2 3 2 2 5" xfId="3452" xr:uid="{00000000-0005-0000-0000-00002E060000}"/>
    <cellStyle name="Comma 2 3 2 2 6" xfId="3589" xr:uid="{00000000-0005-0000-0000-00002F060000}"/>
    <cellStyle name="Comma 2 3 2 3" xfId="135" xr:uid="{00000000-0005-0000-0000-000030060000}"/>
    <cellStyle name="Comma 2 3 2 3 2" xfId="341" xr:uid="{00000000-0005-0000-0000-000031060000}"/>
    <cellStyle name="Comma 2 3 2 3 2 2" xfId="664" xr:uid="{00000000-0005-0000-0000-000032060000}"/>
    <cellStyle name="Comma 2 3 2 3 2 2 2" xfId="1351" xr:uid="{00000000-0005-0000-0000-000033060000}"/>
    <cellStyle name="Comma 2 3 2 3 2 2 2 2" xfId="4743" xr:uid="{00000000-0005-0000-0000-000034060000}"/>
    <cellStyle name="Comma 2 3 2 3 2 2 3" xfId="4058" xr:uid="{00000000-0005-0000-0000-000035060000}"/>
    <cellStyle name="Comma 2 3 2 3 2 3" xfId="1029" xr:uid="{00000000-0005-0000-0000-000036060000}"/>
    <cellStyle name="Comma 2 3 2 3 2 3 2" xfId="4421" xr:uid="{00000000-0005-0000-0000-000037060000}"/>
    <cellStyle name="Comma 2 3 2 3 2 4" xfId="3736" xr:uid="{00000000-0005-0000-0000-000038060000}"/>
    <cellStyle name="Comma 2 3 2 3 3" xfId="516" xr:uid="{00000000-0005-0000-0000-000039060000}"/>
    <cellStyle name="Comma 2 3 2 3 3 2" xfId="1203" xr:uid="{00000000-0005-0000-0000-00003A060000}"/>
    <cellStyle name="Comma 2 3 2 3 3 2 2" xfId="4595" xr:uid="{00000000-0005-0000-0000-00003B060000}"/>
    <cellStyle name="Comma 2 3 2 3 3 3" xfId="3910" xr:uid="{00000000-0005-0000-0000-00003C060000}"/>
    <cellStyle name="Comma 2 3 2 3 4" xfId="881" xr:uid="{00000000-0005-0000-0000-00003D060000}"/>
    <cellStyle name="Comma 2 3 2 3 4 2" xfId="4273" xr:uid="{00000000-0005-0000-0000-00003E060000}"/>
    <cellStyle name="Comma 2 3 2 3 5" xfId="3588" xr:uid="{00000000-0005-0000-0000-00003F060000}"/>
    <cellStyle name="Comma 2 3 2 4" xfId="90" xr:uid="{00000000-0005-0000-0000-000040060000}"/>
    <cellStyle name="Comma 2 3 2 4 2" xfId="1563" xr:uid="{00000000-0005-0000-0000-000041060000}"/>
    <cellStyle name="Comma 2 3 2 4 3" xfId="2485" xr:uid="{00000000-0005-0000-0000-000042060000}"/>
    <cellStyle name="Comma 2 3 2 5" xfId="826" xr:uid="{00000000-0005-0000-0000-000043060000}"/>
    <cellStyle name="Comma 2 3 2 5 2" xfId="1512" xr:uid="{00000000-0005-0000-0000-000044060000}"/>
    <cellStyle name="Comma 2 3 2 5 2 2" xfId="4904" xr:uid="{00000000-0005-0000-0000-000045060000}"/>
    <cellStyle name="Comma 2 3 2 5 3" xfId="4219" xr:uid="{00000000-0005-0000-0000-000046060000}"/>
    <cellStyle name="Comma 2 3 2 6" xfId="3450" xr:uid="{00000000-0005-0000-0000-000047060000}"/>
    <cellStyle name="Comma 2 3 3" xfId="89" xr:uid="{00000000-0005-0000-0000-000048060000}"/>
    <cellStyle name="Comma 2 3 3 2" xfId="1562" xr:uid="{00000000-0005-0000-0000-000049060000}"/>
    <cellStyle name="Comma 2 3 3 3" xfId="2484" xr:uid="{00000000-0005-0000-0000-00004A060000}"/>
    <cellStyle name="Comma 2 3 3 4" xfId="3454" xr:uid="{00000000-0005-0000-0000-00004B060000}"/>
    <cellStyle name="Comma 2 3 3 4 2" xfId="9355" xr:uid="{00000000-0005-0000-0000-00004C060000}"/>
    <cellStyle name="Comma 2 3 4" xfId="201" xr:uid="{00000000-0005-0000-0000-00004D060000}"/>
    <cellStyle name="Comma 2 3 4 2" xfId="1610" xr:uid="{00000000-0005-0000-0000-00004E060000}"/>
    <cellStyle name="Comma 2 3 4 3" xfId="2531" xr:uid="{00000000-0005-0000-0000-00004F060000}"/>
    <cellStyle name="Comma 2 3 5" xfId="1540" xr:uid="{00000000-0005-0000-0000-000050060000}"/>
    <cellStyle name="Comma 2 3 6" xfId="2462" xr:uid="{00000000-0005-0000-0000-000051060000}"/>
    <cellStyle name="Comma 2 3 7" xfId="3448" xr:uid="{00000000-0005-0000-0000-000052060000}"/>
    <cellStyle name="Comma 2 4" xfId="16" xr:uid="{00000000-0005-0000-0000-000053060000}"/>
    <cellStyle name="Comma 2 4 2" xfId="3456" xr:uid="{00000000-0005-0000-0000-000054060000}"/>
    <cellStyle name="Comma 2 4 3" xfId="3400" xr:uid="{00000000-0005-0000-0000-000055060000}"/>
    <cellStyle name="Comma 2 5" xfId="17" xr:uid="{00000000-0005-0000-0000-000056060000}"/>
    <cellStyle name="Comma 2 5 2" xfId="138" xr:uid="{00000000-0005-0000-0000-000057060000}"/>
    <cellStyle name="Comma 2 5 2 2" xfId="344" xr:uid="{00000000-0005-0000-0000-000058060000}"/>
    <cellStyle name="Comma 2 5 2 2 2" xfId="667" xr:uid="{00000000-0005-0000-0000-000059060000}"/>
    <cellStyle name="Comma 2 5 2 2 2 2" xfId="1354" xr:uid="{00000000-0005-0000-0000-00005A060000}"/>
    <cellStyle name="Comma 2 5 2 2 2 2 2" xfId="4746" xr:uid="{00000000-0005-0000-0000-00005B060000}"/>
    <cellStyle name="Comma 2 5 2 2 2 3" xfId="4061" xr:uid="{00000000-0005-0000-0000-00005C060000}"/>
    <cellStyle name="Comma 2 5 2 2 3" xfId="1032" xr:uid="{00000000-0005-0000-0000-00005D060000}"/>
    <cellStyle name="Comma 2 5 2 2 3 2" xfId="4424" xr:uid="{00000000-0005-0000-0000-00005E060000}"/>
    <cellStyle name="Comma 2 5 2 2 4" xfId="3739" xr:uid="{00000000-0005-0000-0000-00005F060000}"/>
    <cellStyle name="Comma 2 5 2 3" xfId="519" xr:uid="{00000000-0005-0000-0000-000060060000}"/>
    <cellStyle name="Comma 2 5 2 3 2" xfId="1206" xr:uid="{00000000-0005-0000-0000-000061060000}"/>
    <cellStyle name="Comma 2 5 2 3 2 2" xfId="4598" xr:uid="{00000000-0005-0000-0000-000062060000}"/>
    <cellStyle name="Comma 2 5 2 3 3" xfId="3913" xr:uid="{00000000-0005-0000-0000-000063060000}"/>
    <cellStyle name="Comma 2 5 2 4" xfId="884" xr:uid="{00000000-0005-0000-0000-000064060000}"/>
    <cellStyle name="Comma 2 5 2 4 2" xfId="4276" xr:uid="{00000000-0005-0000-0000-000065060000}"/>
    <cellStyle name="Comma 2 5 2 5" xfId="3591" xr:uid="{00000000-0005-0000-0000-000066060000}"/>
    <cellStyle name="Comma 2 5 3" xfId="137" xr:uid="{00000000-0005-0000-0000-000067060000}"/>
    <cellStyle name="Comma 2 5 3 2" xfId="343" xr:uid="{00000000-0005-0000-0000-000068060000}"/>
    <cellStyle name="Comma 2 5 3 2 2" xfId="666" xr:uid="{00000000-0005-0000-0000-000069060000}"/>
    <cellStyle name="Comma 2 5 3 2 2 2" xfId="1353" xr:uid="{00000000-0005-0000-0000-00006A060000}"/>
    <cellStyle name="Comma 2 5 3 2 2 2 2" xfId="4745" xr:uid="{00000000-0005-0000-0000-00006B060000}"/>
    <cellStyle name="Comma 2 5 3 2 2 3" xfId="4060" xr:uid="{00000000-0005-0000-0000-00006C060000}"/>
    <cellStyle name="Comma 2 5 3 2 3" xfId="1031" xr:uid="{00000000-0005-0000-0000-00006D060000}"/>
    <cellStyle name="Comma 2 5 3 2 3 2" xfId="4423" xr:uid="{00000000-0005-0000-0000-00006E060000}"/>
    <cellStyle name="Comma 2 5 3 2 4" xfId="3738" xr:uid="{00000000-0005-0000-0000-00006F060000}"/>
    <cellStyle name="Comma 2 5 3 3" xfId="518" xr:uid="{00000000-0005-0000-0000-000070060000}"/>
    <cellStyle name="Comma 2 5 3 3 2" xfId="1205" xr:uid="{00000000-0005-0000-0000-000071060000}"/>
    <cellStyle name="Comma 2 5 3 3 2 2" xfId="4597" xr:uid="{00000000-0005-0000-0000-000072060000}"/>
    <cellStyle name="Comma 2 5 3 3 3" xfId="3912" xr:uid="{00000000-0005-0000-0000-000073060000}"/>
    <cellStyle name="Comma 2 5 3 4" xfId="883" xr:uid="{00000000-0005-0000-0000-000074060000}"/>
    <cellStyle name="Comma 2 5 3 4 2" xfId="4275" xr:uid="{00000000-0005-0000-0000-000075060000}"/>
    <cellStyle name="Comma 2 5 3 5" xfId="3590" xr:uid="{00000000-0005-0000-0000-000076060000}"/>
    <cellStyle name="Comma 2 5 4" xfId="91" xr:uid="{00000000-0005-0000-0000-000077060000}"/>
    <cellStyle name="Comma 2 5 4 2" xfId="1564" xr:uid="{00000000-0005-0000-0000-000078060000}"/>
    <cellStyle name="Comma 2 5 4 3" xfId="2486" xr:uid="{00000000-0005-0000-0000-000079060000}"/>
    <cellStyle name="Comma 2 5 5" xfId="3457" xr:uid="{00000000-0005-0000-0000-00007A060000}"/>
    <cellStyle name="Comma 2 6" xfId="18" xr:uid="{00000000-0005-0000-0000-00007B060000}"/>
    <cellStyle name="Comma 2 6 2" xfId="140" xr:uid="{00000000-0005-0000-0000-00007C060000}"/>
    <cellStyle name="Comma 2 6 2 2" xfId="346" xr:uid="{00000000-0005-0000-0000-00007D060000}"/>
    <cellStyle name="Comma 2 6 2 2 2" xfId="669" xr:uid="{00000000-0005-0000-0000-00007E060000}"/>
    <cellStyle name="Comma 2 6 2 2 2 2" xfId="1356" xr:uid="{00000000-0005-0000-0000-00007F060000}"/>
    <cellStyle name="Comma 2 6 2 2 2 2 2" xfId="4748" xr:uid="{00000000-0005-0000-0000-000080060000}"/>
    <cellStyle name="Comma 2 6 2 2 2 3" xfId="4063" xr:uid="{00000000-0005-0000-0000-000081060000}"/>
    <cellStyle name="Comma 2 6 2 2 3" xfId="1034" xr:uid="{00000000-0005-0000-0000-000082060000}"/>
    <cellStyle name="Comma 2 6 2 2 3 2" xfId="4426" xr:uid="{00000000-0005-0000-0000-000083060000}"/>
    <cellStyle name="Comma 2 6 2 2 4" xfId="3741" xr:uid="{00000000-0005-0000-0000-000084060000}"/>
    <cellStyle name="Comma 2 6 2 3" xfId="521" xr:uid="{00000000-0005-0000-0000-000085060000}"/>
    <cellStyle name="Comma 2 6 2 3 2" xfId="1208" xr:uid="{00000000-0005-0000-0000-000086060000}"/>
    <cellStyle name="Comma 2 6 2 3 2 2" xfId="4600" xr:uid="{00000000-0005-0000-0000-000087060000}"/>
    <cellStyle name="Comma 2 6 2 3 3" xfId="3915" xr:uid="{00000000-0005-0000-0000-000088060000}"/>
    <cellStyle name="Comma 2 6 2 4" xfId="886" xr:uid="{00000000-0005-0000-0000-000089060000}"/>
    <cellStyle name="Comma 2 6 2 4 2" xfId="4278" xr:uid="{00000000-0005-0000-0000-00008A060000}"/>
    <cellStyle name="Comma 2 6 2 5" xfId="3593" xr:uid="{00000000-0005-0000-0000-00008B060000}"/>
    <cellStyle name="Comma 2 6 3" xfId="139" xr:uid="{00000000-0005-0000-0000-00008C060000}"/>
    <cellStyle name="Comma 2 6 3 2" xfId="345" xr:uid="{00000000-0005-0000-0000-00008D060000}"/>
    <cellStyle name="Comma 2 6 3 2 2" xfId="668" xr:uid="{00000000-0005-0000-0000-00008E060000}"/>
    <cellStyle name="Comma 2 6 3 2 2 2" xfId="1355" xr:uid="{00000000-0005-0000-0000-00008F060000}"/>
    <cellStyle name="Comma 2 6 3 2 2 2 2" xfId="4747" xr:uid="{00000000-0005-0000-0000-000090060000}"/>
    <cellStyle name="Comma 2 6 3 2 2 3" xfId="4062" xr:uid="{00000000-0005-0000-0000-000091060000}"/>
    <cellStyle name="Comma 2 6 3 2 3" xfId="1033" xr:uid="{00000000-0005-0000-0000-000092060000}"/>
    <cellStyle name="Comma 2 6 3 2 3 2" xfId="4425" xr:uid="{00000000-0005-0000-0000-000093060000}"/>
    <cellStyle name="Comma 2 6 3 2 4" xfId="3740" xr:uid="{00000000-0005-0000-0000-000094060000}"/>
    <cellStyle name="Comma 2 6 3 3" xfId="520" xr:uid="{00000000-0005-0000-0000-000095060000}"/>
    <cellStyle name="Comma 2 6 3 3 2" xfId="1207" xr:uid="{00000000-0005-0000-0000-000096060000}"/>
    <cellStyle name="Comma 2 6 3 3 2 2" xfId="4599" xr:uid="{00000000-0005-0000-0000-000097060000}"/>
    <cellStyle name="Comma 2 6 3 3 3" xfId="3914" xr:uid="{00000000-0005-0000-0000-000098060000}"/>
    <cellStyle name="Comma 2 6 3 4" xfId="885" xr:uid="{00000000-0005-0000-0000-000099060000}"/>
    <cellStyle name="Comma 2 6 3 4 2" xfId="4277" xr:uid="{00000000-0005-0000-0000-00009A060000}"/>
    <cellStyle name="Comma 2 6 3 5" xfId="3592" xr:uid="{00000000-0005-0000-0000-00009B060000}"/>
    <cellStyle name="Comma 2 6 4" xfId="92" xr:uid="{00000000-0005-0000-0000-00009C060000}"/>
    <cellStyle name="Comma 2 6 4 2" xfId="1565" xr:uid="{00000000-0005-0000-0000-00009D060000}"/>
    <cellStyle name="Comma 2 6 4 3" xfId="2487" xr:uid="{00000000-0005-0000-0000-00009E060000}"/>
    <cellStyle name="Comma 2 7" xfId="72" xr:uid="{00000000-0005-0000-0000-00009F060000}"/>
    <cellStyle name="Comma 2 7 2" xfId="449" xr:uid="{00000000-0005-0000-0000-0000A0060000}"/>
    <cellStyle name="Comma 2 8" xfId="3442" xr:uid="{00000000-0005-0000-0000-0000A1060000}"/>
    <cellStyle name="Comma 20" xfId="291" xr:uid="{00000000-0005-0000-0000-0000A2060000}"/>
    <cellStyle name="Comma 20 2" xfId="441" xr:uid="{00000000-0005-0000-0000-0000A3060000}"/>
    <cellStyle name="Comma 20 2 2" xfId="764" xr:uid="{00000000-0005-0000-0000-0000A4060000}"/>
    <cellStyle name="Comma 20 2 2 2" xfId="1451" xr:uid="{00000000-0005-0000-0000-0000A5060000}"/>
    <cellStyle name="Comma 20 2 2 2 2" xfId="2381" xr:uid="{00000000-0005-0000-0000-0000A6060000}"/>
    <cellStyle name="Comma 20 2 2 2 2 2" xfId="5728" xr:uid="{00000000-0005-0000-0000-0000A7060000}"/>
    <cellStyle name="Comma 20 2 2 2 2 2 2" xfId="11042" xr:uid="{00000000-0005-0000-0000-0000A8060000}"/>
    <cellStyle name="Comma 20 2 2 2 2 3" xfId="8384" xr:uid="{00000000-0005-0000-0000-0000A9060000}"/>
    <cellStyle name="Comma 20 2 2 2 3" xfId="3302" xr:uid="{00000000-0005-0000-0000-0000AA060000}"/>
    <cellStyle name="Comma 20 2 2 2 3 2" xfId="6605" xr:uid="{00000000-0005-0000-0000-0000AB060000}"/>
    <cellStyle name="Comma 20 2 2 2 3 2 2" xfId="11919" xr:uid="{00000000-0005-0000-0000-0000AC060000}"/>
    <cellStyle name="Comma 20 2 2 2 3 3" xfId="9261" xr:uid="{00000000-0005-0000-0000-0000AD060000}"/>
    <cellStyle name="Comma 20 2 2 2 4" xfId="4843" xr:uid="{00000000-0005-0000-0000-0000AE060000}"/>
    <cellStyle name="Comma 20 2 2 2 4 2" xfId="10165" xr:uid="{00000000-0005-0000-0000-0000AF060000}"/>
    <cellStyle name="Comma 20 2 2 2 5" xfId="7507" xr:uid="{00000000-0005-0000-0000-0000B0060000}"/>
    <cellStyle name="Comma 20 2 2 3" xfId="1943" xr:uid="{00000000-0005-0000-0000-0000B1060000}"/>
    <cellStyle name="Comma 20 2 2 3 2" xfId="5292" xr:uid="{00000000-0005-0000-0000-0000B2060000}"/>
    <cellStyle name="Comma 20 2 2 3 2 2" xfId="10606" xr:uid="{00000000-0005-0000-0000-0000B3060000}"/>
    <cellStyle name="Comma 20 2 2 3 3" xfId="7948" xr:uid="{00000000-0005-0000-0000-0000B4060000}"/>
    <cellStyle name="Comma 20 2 2 4" xfId="2864" xr:uid="{00000000-0005-0000-0000-0000B5060000}"/>
    <cellStyle name="Comma 20 2 2 4 2" xfId="6169" xr:uid="{00000000-0005-0000-0000-0000B6060000}"/>
    <cellStyle name="Comma 20 2 2 4 2 2" xfId="11483" xr:uid="{00000000-0005-0000-0000-0000B7060000}"/>
    <cellStyle name="Comma 20 2 2 4 3" xfId="8825" xr:uid="{00000000-0005-0000-0000-0000B8060000}"/>
    <cellStyle name="Comma 20 2 2 5" xfId="4158" xr:uid="{00000000-0005-0000-0000-0000B9060000}"/>
    <cellStyle name="Comma 20 2 2 5 2" xfId="9729" xr:uid="{00000000-0005-0000-0000-0000BA060000}"/>
    <cellStyle name="Comma 20 2 2 6" xfId="7071" xr:uid="{00000000-0005-0000-0000-0000BB060000}"/>
    <cellStyle name="Comma 20 2 3" xfId="1129" xr:uid="{00000000-0005-0000-0000-0000BC060000}"/>
    <cellStyle name="Comma 20 2 3 2" xfId="2181" xr:uid="{00000000-0005-0000-0000-0000BD060000}"/>
    <cellStyle name="Comma 20 2 3 2 2" xfId="5528" xr:uid="{00000000-0005-0000-0000-0000BE060000}"/>
    <cellStyle name="Comma 20 2 3 2 2 2" xfId="10842" xr:uid="{00000000-0005-0000-0000-0000BF060000}"/>
    <cellStyle name="Comma 20 2 3 2 3" xfId="8184" xr:uid="{00000000-0005-0000-0000-0000C0060000}"/>
    <cellStyle name="Comma 20 2 3 3" xfId="3102" xr:uid="{00000000-0005-0000-0000-0000C1060000}"/>
    <cellStyle name="Comma 20 2 3 3 2" xfId="6405" xr:uid="{00000000-0005-0000-0000-0000C2060000}"/>
    <cellStyle name="Comma 20 2 3 3 2 2" xfId="11719" xr:uid="{00000000-0005-0000-0000-0000C3060000}"/>
    <cellStyle name="Comma 20 2 3 3 3" xfId="9061" xr:uid="{00000000-0005-0000-0000-0000C4060000}"/>
    <cellStyle name="Comma 20 2 3 4" xfId="4521" xr:uid="{00000000-0005-0000-0000-0000C5060000}"/>
    <cellStyle name="Comma 20 2 3 4 2" xfId="9965" xr:uid="{00000000-0005-0000-0000-0000C6060000}"/>
    <cellStyle name="Comma 20 2 3 5" xfId="7307" xr:uid="{00000000-0005-0000-0000-0000C7060000}"/>
    <cellStyle name="Comma 20 2 4" xfId="1743" xr:uid="{00000000-0005-0000-0000-0000C8060000}"/>
    <cellStyle name="Comma 20 2 4 2" xfId="5092" xr:uid="{00000000-0005-0000-0000-0000C9060000}"/>
    <cellStyle name="Comma 20 2 4 2 2" xfId="10406" xr:uid="{00000000-0005-0000-0000-0000CA060000}"/>
    <cellStyle name="Comma 20 2 4 3" xfId="7748" xr:uid="{00000000-0005-0000-0000-0000CB060000}"/>
    <cellStyle name="Comma 20 2 5" xfId="2664" xr:uid="{00000000-0005-0000-0000-0000CC060000}"/>
    <cellStyle name="Comma 20 2 5 2" xfId="5969" xr:uid="{00000000-0005-0000-0000-0000CD060000}"/>
    <cellStyle name="Comma 20 2 5 2 2" xfId="11283" xr:uid="{00000000-0005-0000-0000-0000CE060000}"/>
    <cellStyle name="Comma 20 2 5 3" xfId="8625" xr:uid="{00000000-0005-0000-0000-0000CF060000}"/>
    <cellStyle name="Comma 20 2 6" xfId="3836" xr:uid="{00000000-0005-0000-0000-0000D0060000}"/>
    <cellStyle name="Comma 20 2 6 2" xfId="9529" xr:uid="{00000000-0005-0000-0000-0000D1060000}"/>
    <cellStyle name="Comma 20 2 7" xfId="6871" xr:uid="{00000000-0005-0000-0000-0000D2060000}"/>
    <cellStyle name="Comma 20 3" xfId="615" xr:uid="{00000000-0005-0000-0000-0000D3060000}"/>
    <cellStyle name="Comma 20 3 2" xfId="1302" xr:uid="{00000000-0005-0000-0000-0000D4060000}"/>
    <cellStyle name="Comma 20 3 2 2" xfId="2292" xr:uid="{00000000-0005-0000-0000-0000D5060000}"/>
    <cellStyle name="Comma 20 3 2 2 2" xfId="5639" xr:uid="{00000000-0005-0000-0000-0000D6060000}"/>
    <cellStyle name="Comma 20 3 2 2 2 2" xfId="10953" xr:uid="{00000000-0005-0000-0000-0000D7060000}"/>
    <cellStyle name="Comma 20 3 2 2 3" xfId="8295" xr:uid="{00000000-0005-0000-0000-0000D8060000}"/>
    <cellStyle name="Comma 20 3 2 3" xfId="3213" xr:uid="{00000000-0005-0000-0000-0000D9060000}"/>
    <cellStyle name="Comma 20 3 2 3 2" xfId="6516" xr:uid="{00000000-0005-0000-0000-0000DA060000}"/>
    <cellStyle name="Comma 20 3 2 3 2 2" xfId="11830" xr:uid="{00000000-0005-0000-0000-0000DB060000}"/>
    <cellStyle name="Comma 20 3 2 3 3" xfId="9172" xr:uid="{00000000-0005-0000-0000-0000DC060000}"/>
    <cellStyle name="Comma 20 3 2 4" xfId="4694" xr:uid="{00000000-0005-0000-0000-0000DD060000}"/>
    <cellStyle name="Comma 20 3 2 4 2" xfId="10076" xr:uid="{00000000-0005-0000-0000-0000DE060000}"/>
    <cellStyle name="Comma 20 3 2 5" xfId="7418" xr:uid="{00000000-0005-0000-0000-0000DF060000}"/>
    <cellStyle name="Comma 20 3 3" xfId="1854" xr:uid="{00000000-0005-0000-0000-0000E0060000}"/>
    <cellStyle name="Comma 20 3 3 2" xfId="5203" xr:uid="{00000000-0005-0000-0000-0000E1060000}"/>
    <cellStyle name="Comma 20 3 3 2 2" xfId="10517" xr:uid="{00000000-0005-0000-0000-0000E2060000}"/>
    <cellStyle name="Comma 20 3 3 3" xfId="7859" xr:uid="{00000000-0005-0000-0000-0000E3060000}"/>
    <cellStyle name="Comma 20 3 4" xfId="2775" xr:uid="{00000000-0005-0000-0000-0000E4060000}"/>
    <cellStyle name="Comma 20 3 4 2" xfId="6080" xr:uid="{00000000-0005-0000-0000-0000E5060000}"/>
    <cellStyle name="Comma 20 3 4 2 2" xfId="11394" xr:uid="{00000000-0005-0000-0000-0000E6060000}"/>
    <cellStyle name="Comma 20 3 4 3" xfId="8736" xr:uid="{00000000-0005-0000-0000-0000E7060000}"/>
    <cellStyle name="Comma 20 3 5" xfId="4009" xr:uid="{00000000-0005-0000-0000-0000E8060000}"/>
    <cellStyle name="Comma 20 3 5 2" xfId="9640" xr:uid="{00000000-0005-0000-0000-0000E9060000}"/>
    <cellStyle name="Comma 20 3 6" xfId="6982" xr:uid="{00000000-0005-0000-0000-0000EA060000}"/>
    <cellStyle name="Comma 20 4" xfId="980" xr:uid="{00000000-0005-0000-0000-0000EB060000}"/>
    <cellStyle name="Comma 20 4 2" xfId="2092" xr:uid="{00000000-0005-0000-0000-0000EC060000}"/>
    <cellStyle name="Comma 20 4 2 2" xfId="5439" xr:uid="{00000000-0005-0000-0000-0000ED060000}"/>
    <cellStyle name="Comma 20 4 2 2 2" xfId="10753" xr:uid="{00000000-0005-0000-0000-0000EE060000}"/>
    <cellStyle name="Comma 20 4 2 3" xfId="8095" xr:uid="{00000000-0005-0000-0000-0000EF060000}"/>
    <cellStyle name="Comma 20 4 3" xfId="3013" xr:uid="{00000000-0005-0000-0000-0000F0060000}"/>
    <cellStyle name="Comma 20 4 3 2" xfId="6316" xr:uid="{00000000-0005-0000-0000-0000F1060000}"/>
    <cellStyle name="Comma 20 4 3 2 2" xfId="11630" xr:uid="{00000000-0005-0000-0000-0000F2060000}"/>
    <cellStyle name="Comma 20 4 3 3" xfId="8972" xr:uid="{00000000-0005-0000-0000-0000F3060000}"/>
    <cellStyle name="Comma 20 4 4" xfId="4372" xr:uid="{00000000-0005-0000-0000-0000F4060000}"/>
    <cellStyle name="Comma 20 4 4 2" xfId="9876" xr:uid="{00000000-0005-0000-0000-0000F5060000}"/>
    <cellStyle name="Comma 20 4 5" xfId="7218" xr:uid="{00000000-0005-0000-0000-0000F6060000}"/>
    <cellStyle name="Comma 20 5" xfId="1654" xr:uid="{00000000-0005-0000-0000-0000F7060000}"/>
    <cellStyle name="Comma 20 5 2" xfId="5003" xr:uid="{00000000-0005-0000-0000-0000F8060000}"/>
    <cellStyle name="Comma 20 5 2 2" xfId="10317" xr:uid="{00000000-0005-0000-0000-0000F9060000}"/>
    <cellStyle name="Comma 20 5 3" xfId="7659" xr:uid="{00000000-0005-0000-0000-0000FA060000}"/>
    <cellStyle name="Comma 20 6" xfId="2575" xr:uid="{00000000-0005-0000-0000-0000FB060000}"/>
    <cellStyle name="Comma 20 6 2" xfId="5880" xr:uid="{00000000-0005-0000-0000-0000FC060000}"/>
    <cellStyle name="Comma 20 6 2 2" xfId="11194" xr:uid="{00000000-0005-0000-0000-0000FD060000}"/>
    <cellStyle name="Comma 20 6 3" xfId="8536" xr:uid="{00000000-0005-0000-0000-0000FE060000}"/>
    <cellStyle name="Comma 20 7" xfId="3687" xr:uid="{00000000-0005-0000-0000-0000FF060000}"/>
    <cellStyle name="Comma 20 7 2" xfId="9440" xr:uid="{00000000-0005-0000-0000-000000070000}"/>
    <cellStyle name="Comma 20 8" xfId="6782" xr:uid="{00000000-0005-0000-0000-000001070000}"/>
    <cellStyle name="Comma 21" xfId="452" xr:uid="{00000000-0005-0000-0000-000002070000}"/>
    <cellStyle name="Comma 21 2" xfId="806" xr:uid="{00000000-0005-0000-0000-000003070000}"/>
    <cellStyle name="Comma 21 2 2" xfId="1982" xr:uid="{00000000-0005-0000-0000-000004070000}"/>
    <cellStyle name="Comma 21 2 3" xfId="2903" xr:uid="{00000000-0005-0000-0000-000005070000}"/>
    <cellStyle name="Comma 21 3" xfId="774" xr:uid="{00000000-0005-0000-0000-000006070000}"/>
    <cellStyle name="Comma 21 3 2" xfId="1461" xr:uid="{00000000-0005-0000-0000-000007070000}"/>
    <cellStyle name="Comma 21 3 2 2" xfId="2390" xr:uid="{00000000-0005-0000-0000-000008070000}"/>
    <cellStyle name="Comma 21 3 2 2 2" xfId="5737" xr:uid="{00000000-0005-0000-0000-000009070000}"/>
    <cellStyle name="Comma 21 3 2 2 2 2" xfId="11051" xr:uid="{00000000-0005-0000-0000-00000A070000}"/>
    <cellStyle name="Comma 21 3 2 2 3" xfId="8393" xr:uid="{00000000-0005-0000-0000-00000B070000}"/>
    <cellStyle name="Comma 21 3 2 3" xfId="3311" xr:uid="{00000000-0005-0000-0000-00000C070000}"/>
    <cellStyle name="Comma 21 3 2 3 2" xfId="6614" xr:uid="{00000000-0005-0000-0000-00000D070000}"/>
    <cellStyle name="Comma 21 3 2 3 2 2" xfId="11928" xr:uid="{00000000-0005-0000-0000-00000E070000}"/>
    <cellStyle name="Comma 21 3 2 3 3" xfId="9270" xr:uid="{00000000-0005-0000-0000-00000F070000}"/>
    <cellStyle name="Comma 21 3 2 4" xfId="4853" xr:uid="{00000000-0005-0000-0000-000010070000}"/>
    <cellStyle name="Comma 21 3 2 4 2" xfId="10174" xr:uid="{00000000-0005-0000-0000-000011070000}"/>
    <cellStyle name="Comma 21 3 2 5" xfId="7516" xr:uid="{00000000-0005-0000-0000-000012070000}"/>
    <cellStyle name="Comma 21 3 3" xfId="1952" xr:uid="{00000000-0005-0000-0000-000013070000}"/>
    <cellStyle name="Comma 21 3 3 2" xfId="5301" xr:uid="{00000000-0005-0000-0000-000014070000}"/>
    <cellStyle name="Comma 21 3 3 2 2" xfId="10615" xr:uid="{00000000-0005-0000-0000-000015070000}"/>
    <cellStyle name="Comma 21 3 3 3" xfId="7957" xr:uid="{00000000-0005-0000-0000-000016070000}"/>
    <cellStyle name="Comma 21 3 4" xfId="2873" xr:uid="{00000000-0005-0000-0000-000017070000}"/>
    <cellStyle name="Comma 21 3 4 2" xfId="6178" xr:uid="{00000000-0005-0000-0000-000018070000}"/>
    <cellStyle name="Comma 21 3 4 2 2" xfId="11492" xr:uid="{00000000-0005-0000-0000-000019070000}"/>
    <cellStyle name="Comma 21 3 4 3" xfId="8834" xr:uid="{00000000-0005-0000-0000-00001A070000}"/>
    <cellStyle name="Comma 21 3 5" xfId="4168" xr:uid="{00000000-0005-0000-0000-00001B070000}"/>
    <cellStyle name="Comma 21 3 5 2" xfId="9738" xr:uid="{00000000-0005-0000-0000-00001C070000}"/>
    <cellStyle name="Comma 21 3 6" xfId="7080" xr:uid="{00000000-0005-0000-0000-00001D070000}"/>
    <cellStyle name="Comma 21 4" xfId="1139" xr:uid="{00000000-0005-0000-0000-00001E070000}"/>
    <cellStyle name="Comma 21 4 2" xfId="2190" xr:uid="{00000000-0005-0000-0000-00001F070000}"/>
    <cellStyle name="Comma 21 4 2 2" xfId="5537" xr:uid="{00000000-0005-0000-0000-000020070000}"/>
    <cellStyle name="Comma 21 4 2 2 2" xfId="10851" xr:uid="{00000000-0005-0000-0000-000021070000}"/>
    <cellStyle name="Comma 21 4 2 3" xfId="8193" xr:uid="{00000000-0005-0000-0000-000022070000}"/>
    <cellStyle name="Comma 21 4 3" xfId="3111" xr:uid="{00000000-0005-0000-0000-000023070000}"/>
    <cellStyle name="Comma 21 4 3 2" xfId="6414" xr:uid="{00000000-0005-0000-0000-000024070000}"/>
    <cellStyle name="Comma 21 4 3 2 2" xfId="11728" xr:uid="{00000000-0005-0000-0000-000025070000}"/>
    <cellStyle name="Comma 21 4 3 3" xfId="9070" xr:uid="{00000000-0005-0000-0000-000026070000}"/>
    <cellStyle name="Comma 21 4 4" xfId="4531" xr:uid="{00000000-0005-0000-0000-000027070000}"/>
    <cellStyle name="Comma 21 4 4 2" xfId="9974" xr:uid="{00000000-0005-0000-0000-000028070000}"/>
    <cellStyle name="Comma 21 4 5" xfId="7316" xr:uid="{00000000-0005-0000-0000-000029070000}"/>
    <cellStyle name="Comma 21 5" xfId="1752" xr:uid="{00000000-0005-0000-0000-00002A070000}"/>
    <cellStyle name="Comma 21 5 2" xfId="5101" xr:uid="{00000000-0005-0000-0000-00002B070000}"/>
    <cellStyle name="Comma 21 5 2 2" xfId="10415" xr:uid="{00000000-0005-0000-0000-00002C070000}"/>
    <cellStyle name="Comma 21 5 3" xfId="7757" xr:uid="{00000000-0005-0000-0000-00002D070000}"/>
    <cellStyle name="Comma 21 6" xfId="2673" xr:uid="{00000000-0005-0000-0000-00002E070000}"/>
    <cellStyle name="Comma 21 6 2" xfId="5978" xr:uid="{00000000-0005-0000-0000-00002F070000}"/>
    <cellStyle name="Comma 21 6 2 2" xfId="11292" xr:uid="{00000000-0005-0000-0000-000030070000}"/>
    <cellStyle name="Comma 21 6 3" xfId="8634" xr:uid="{00000000-0005-0000-0000-000031070000}"/>
    <cellStyle name="Comma 21 7" xfId="3846" xr:uid="{00000000-0005-0000-0000-000032070000}"/>
    <cellStyle name="Comma 21 7 2" xfId="9538" xr:uid="{00000000-0005-0000-0000-000033070000}"/>
    <cellStyle name="Comma 21 8" xfId="6880" xr:uid="{00000000-0005-0000-0000-000034070000}"/>
    <cellStyle name="Comma 22" xfId="822" xr:uid="{00000000-0005-0000-0000-000035070000}"/>
    <cellStyle name="Comma 22 2" xfId="1508" xr:uid="{00000000-0005-0000-0000-000036070000}"/>
    <cellStyle name="Comma 22 2 2" xfId="2434" xr:uid="{00000000-0005-0000-0000-000037070000}"/>
    <cellStyle name="Comma 22 2 2 2" xfId="5781" xr:uid="{00000000-0005-0000-0000-000038070000}"/>
    <cellStyle name="Comma 22 2 2 2 2" xfId="11095" xr:uid="{00000000-0005-0000-0000-000039070000}"/>
    <cellStyle name="Comma 22 2 2 3" xfId="8437" xr:uid="{00000000-0005-0000-0000-00003A070000}"/>
    <cellStyle name="Comma 22 2 3" xfId="3355" xr:uid="{00000000-0005-0000-0000-00003B070000}"/>
    <cellStyle name="Comma 22 2 3 2" xfId="6658" xr:uid="{00000000-0005-0000-0000-00003C070000}"/>
    <cellStyle name="Comma 22 2 3 2 2" xfId="11972" xr:uid="{00000000-0005-0000-0000-00003D070000}"/>
    <cellStyle name="Comma 22 2 3 3" xfId="9314" xr:uid="{00000000-0005-0000-0000-00003E070000}"/>
    <cellStyle name="Comma 22 2 4" xfId="4900" xr:uid="{00000000-0005-0000-0000-00003F070000}"/>
    <cellStyle name="Comma 22 2 4 2" xfId="10218" xr:uid="{00000000-0005-0000-0000-000040070000}"/>
    <cellStyle name="Comma 22 2 5" xfId="7560" xr:uid="{00000000-0005-0000-0000-000041070000}"/>
    <cellStyle name="Comma 22 3" xfId="1997" xr:uid="{00000000-0005-0000-0000-000042070000}"/>
    <cellStyle name="Comma 22 3 2" xfId="5345" xr:uid="{00000000-0005-0000-0000-000043070000}"/>
    <cellStyle name="Comma 22 3 2 2" xfId="10659" xr:uid="{00000000-0005-0000-0000-000044070000}"/>
    <cellStyle name="Comma 22 3 3" xfId="8001" xr:uid="{00000000-0005-0000-0000-000045070000}"/>
    <cellStyle name="Comma 22 4" xfId="2918" xr:uid="{00000000-0005-0000-0000-000046070000}"/>
    <cellStyle name="Comma 22 4 2" xfId="6222" xr:uid="{00000000-0005-0000-0000-000047070000}"/>
    <cellStyle name="Comma 22 4 2 2" xfId="11536" xr:uid="{00000000-0005-0000-0000-000048070000}"/>
    <cellStyle name="Comma 22 4 3" xfId="8878" xr:uid="{00000000-0005-0000-0000-000049070000}"/>
    <cellStyle name="Comma 22 5" xfId="4215" xr:uid="{00000000-0005-0000-0000-00004A070000}"/>
    <cellStyle name="Comma 22 5 2" xfId="9782" xr:uid="{00000000-0005-0000-0000-00004B070000}"/>
    <cellStyle name="Comma 22 6" xfId="7124" xr:uid="{00000000-0005-0000-0000-00004C070000}"/>
    <cellStyle name="Comma 23" xfId="1547" xr:uid="{00000000-0005-0000-0000-00004D070000}"/>
    <cellStyle name="Comma 24" xfId="2469" xr:uid="{00000000-0005-0000-0000-00004E070000}"/>
    <cellStyle name="Comma 25" xfId="64" xr:uid="{00000000-0005-0000-0000-00004F070000}"/>
    <cellStyle name="Comma 25 10" xfId="3556" xr:uid="{00000000-0005-0000-0000-000050070000}"/>
    <cellStyle name="Comma 25 10 2" xfId="9368" xr:uid="{00000000-0005-0000-0000-000051070000}"/>
    <cellStyle name="Comma 25 11" xfId="6705" xr:uid="{00000000-0005-0000-0000-000052070000}"/>
    <cellStyle name="Comma 25 2" xfId="68" xr:uid="{00000000-0005-0000-0000-000053070000}"/>
    <cellStyle name="Comma 25 2 10" xfId="6707" xr:uid="{00000000-0005-0000-0000-000054070000}"/>
    <cellStyle name="Comma 25 2 2" xfId="114" xr:uid="{00000000-0005-0000-0000-000055070000}"/>
    <cellStyle name="Comma 25 2 2 2" xfId="320" xr:uid="{00000000-0005-0000-0000-000056070000}"/>
    <cellStyle name="Comma 25 2 2 2 2" xfId="643" xr:uid="{00000000-0005-0000-0000-000057070000}"/>
    <cellStyle name="Comma 25 2 2 2 2 2" xfId="1330" xr:uid="{00000000-0005-0000-0000-000058070000}"/>
    <cellStyle name="Comma 25 2 2 2 2 2 2" xfId="2319" xr:uid="{00000000-0005-0000-0000-000059070000}"/>
    <cellStyle name="Comma 25 2 2 2 2 2 2 2" xfId="5666" xr:uid="{00000000-0005-0000-0000-00005A070000}"/>
    <cellStyle name="Comma 25 2 2 2 2 2 2 2 2" xfId="10980" xr:uid="{00000000-0005-0000-0000-00005B070000}"/>
    <cellStyle name="Comma 25 2 2 2 2 2 2 3" xfId="8322" xr:uid="{00000000-0005-0000-0000-00005C070000}"/>
    <cellStyle name="Comma 25 2 2 2 2 2 3" xfId="3240" xr:uid="{00000000-0005-0000-0000-00005D070000}"/>
    <cellStyle name="Comma 25 2 2 2 2 2 3 2" xfId="6543" xr:uid="{00000000-0005-0000-0000-00005E070000}"/>
    <cellStyle name="Comma 25 2 2 2 2 2 3 2 2" xfId="11857" xr:uid="{00000000-0005-0000-0000-00005F070000}"/>
    <cellStyle name="Comma 25 2 2 2 2 2 3 3" xfId="9199" xr:uid="{00000000-0005-0000-0000-000060070000}"/>
    <cellStyle name="Comma 25 2 2 2 2 2 4" xfId="4722" xr:uid="{00000000-0005-0000-0000-000061070000}"/>
    <cellStyle name="Comma 25 2 2 2 2 2 4 2" xfId="10103" xr:uid="{00000000-0005-0000-0000-000062070000}"/>
    <cellStyle name="Comma 25 2 2 2 2 2 5" xfId="7445" xr:uid="{00000000-0005-0000-0000-000063070000}"/>
    <cellStyle name="Comma 25 2 2 2 2 3" xfId="1881" xr:uid="{00000000-0005-0000-0000-000064070000}"/>
    <cellStyle name="Comma 25 2 2 2 2 3 2" xfId="5230" xr:uid="{00000000-0005-0000-0000-000065070000}"/>
    <cellStyle name="Comma 25 2 2 2 2 3 2 2" xfId="10544" xr:uid="{00000000-0005-0000-0000-000066070000}"/>
    <cellStyle name="Comma 25 2 2 2 2 3 3" xfId="7886" xr:uid="{00000000-0005-0000-0000-000067070000}"/>
    <cellStyle name="Comma 25 2 2 2 2 4" xfId="2802" xr:uid="{00000000-0005-0000-0000-000068070000}"/>
    <cellStyle name="Comma 25 2 2 2 2 4 2" xfId="6107" xr:uid="{00000000-0005-0000-0000-000069070000}"/>
    <cellStyle name="Comma 25 2 2 2 2 4 2 2" xfId="11421" xr:uid="{00000000-0005-0000-0000-00006A070000}"/>
    <cellStyle name="Comma 25 2 2 2 2 4 3" xfId="8763" xr:uid="{00000000-0005-0000-0000-00006B070000}"/>
    <cellStyle name="Comma 25 2 2 2 2 5" xfId="4037" xr:uid="{00000000-0005-0000-0000-00006C070000}"/>
    <cellStyle name="Comma 25 2 2 2 2 5 2" xfId="9667" xr:uid="{00000000-0005-0000-0000-00006D070000}"/>
    <cellStyle name="Comma 25 2 2 2 2 6" xfId="7009" xr:uid="{00000000-0005-0000-0000-00006E070000}"/>
    <cellStyle name="Comma 25 2 2 2 3" xfId="1008" xr:uid="{00000000-0005-0000-0000-00006F070000}"/>
    <cellStyle name="Comma 25 2 2 2 3 2" xfId="2119" xr:uid="{00000000-0005-0000-0000-000070070000}"/>
    <cellStyle name="Comma 25 2 2 2 3 2 2" xfId="5466" xr:uid="{00000000-0005-0000-0000-000071070000}"/>
    <cellStyle name="Comma 25 2 2 2 3 2 2 2" xfId="10780" xr:uid="{00000000-0005-0000-0000-000072070000}"/>
    <cellStyle name="Comma 25 2 2 2 3 2 3" xfId="8122" xr:uid="{00000000-0005-0000-0000-000073070000}"/>
    <cellStyle name="Comma 25 2 2 2 3 3" xfId="3040" xr:uid="{00000000-0005-0000-0000-000074070000}"/>
    <cellStyle name="Comma 25 2 2 2 3 3 2" xfId="6343" xr:uid="{00000000-0005-0000-0000-000075070000}"/>
    <cellStyle name="Comma 25 2 2 2 3 3 2 2" xfId="11657" xr:uid="{00000000-0005-0000-0000-000076070000}"/>
    <cellStyle name="Comma 25 2 2 2 3 3 3" xfId="8999" xr:uid="{00000000-0005-0000-0000-000077070000}"/>
    <cellStyle name="Comma 25 2 2 2 3 4" xfId="4400" xr:uid="{00000000-0005-0000-0000-000078070000}"/>
    <cellStyle name="Comma 25 2 2 2 3 4 2" xfId="9903" xr:uid="{00000000-0005-0000-0000-000079070000}"/>
    <cellStyle name="Comma 25 2 2 2 3 5" xfId="7245" xr:uid="{00000000-0005-0000-0000-00007A070000}"/>
    <cellStyle name="Comma 25 2 2 2 4" xfId="1681" xr:uid="{00000000-0005-0000-0000-00007B070000}"/>
    <cellStyle name="Comma 25 2 2 2 4 2" xfId="5030" xr:uid="{00000000-0005-0000-0000-00007C070000}"/>
    <cellStyle name="Comma 25 2 2 2 4 2 2" xfId="10344" xr:uid="{00000000-0005-0000-0000-00007D070000}"/>
    <cellStyle name="Comma 25 2 2 2 4 3" xfId="7686" xr:uid="{00000000-0005-0000-0000-00007E070000}"/>
    <cellStyle name="Comma 25 2 2 2 5" xfId="2602" xr:uid="{00000000-0005-0000-0000-00007F070000}"/>
    <cellStyle name="Comma 25 2 2 2 5 2" xfId="5907" xr:uid="{00000000-0005-0000-0000-000080070000}"/>
    <cellStyle name="Comma 25 2 2 2 5 2 2" xfId="11221" xr:uid="{00000000-0005-0000-0000-000081070000}"/>
    <cellStyle name="Comma 25 2 2 2 5 3" xfId="8563" xr:uid="{00000000-0005-0000-0000-000082070000}"/>
    <cellStyle name="Comma 25 2 2 2 6" xfId="3715" xr:uid="{00000000-0005-0000-0000-000083070000}"/>
    <cellStyle name="Comma 25 2 2 2 6 2" xfId="9467" xr:uid="{00000000-0005-0000-0000-000084070000}"/>
    <cellStyle name="Comma 25 2 2 2 7" xfId="6809" xr:uid="{00000000-0005-0000-0000-000085070000}"/>
    <cellStyle name="Comma 25 2 2 3" xfId="495" xr:uid="{00000000-0005-0000-0000-000086070000}"/>
    <cellStyle name="Comma 25 2 2 3 2" xfId="1182" xr:uid="{00000000-0005-0000-0000-000087070000}"/>
    <cellStyle name="Comma 25 2 2 3 2 2" xfId="2230" xr:uid="{00000000-0005-0000-0000-000088070000}"/>
    <cellStyle name="Comma 25 2 2 3 2 2 2" xfId="5577" xr:uid="{00000000-0005-0000-0000-000089070000}"/>
    <cellStyle name="Comma 25 2 2 3 2 2 2 2" xfId="10891" xr:uid="{00000000-0005-0000-0000-00008A070000}"/>
    <cellStyle name="Comma 25 2 2 3 2 2 3" xfId="8233" xr:uid="{00000000-0005-0000-0000-00008B070000}"/>
    <cellStyle name="Comma 25 2 2 3 2 3" xfId="3151" xr:uid="{00000000-0005-0000-0000-00008C070000}"/>
    <cellStyle name="Comma 25 2 2 3 2 3 2" xfId="6454" xr:uid="{00000000-0005-0000-0000-00008D070000}"/>
    <cellStyle name="Comma 25 2 2 3 2 3 2 2" xfId="11768" xr:uid="{00000000-0005-0000-0000-00008E070000}"/>
    <cellStyle name="Comma 25 2 2 3 2 3 3" xfId="9110" xr:uid="{00000000-0005-0000-0000-00008F070000}"/>
    <cellStyle name="Comma 25 2 2 3 2 4" xfId="4574" xr:uid="{00000000-0005-0000-0000-000090070000}"/>
    <cellStyle name="Comma 25 2 2 3 2 4 2" xfId="10014" xr:uid="{00000000-0005-0000-0000-000091070000}"/>
    <cellStyle name="Comma 25 2 2 3 2 5" xfId="7356" xr:uid="{00000000-0005-0000-0000-000092070000}"/>
    <cellStyle name="Comma 25 2 2 3 3" xfId="1792" xr:uid="{00000000-0005-0000-0000-000093070000}"/>
    <cellStyle name="Comma 25 2 2 3 3 2" xfId="5141" xr:uid="{00000000-0005-0000-0000-000094070000}"/>
    <cellStyle name="Comma 25 2 2 3 3 2 2" xfId="10455" xr:uid="{00000000-0005-0000-0000-000095070000}"/>
    <cellStyle name="Comma 25 2 2 3 3 3" xfId="7797" xr:uid="{00000000-0005-0000-0000-000096070000}"/>
    <cellStyle name="Comma 25 2 2 3 4" xfId="2713" xr:uid="{00000000-0005-0000-0000-000097070000}"/>
    <cellStyle name="Comma 25 2 2 3 4 2" xfId="6018" xr:uid="{00000000-0005-0000-0000-000098070000}"/>
    <cellStyle name="Comma 25 2 2 3 4 2 2" xfId="11332" xr:uid="{00000000-0005-0000-0000-000099070000}"/>
    <cellStyle name="Comma 25 2 2 3 4 3" xfId="8674" xr:uid="{00000000-0005-0000-0000-00009A070000}"/>
    <cellStyle name="Comma 25 2 2 3 5" xfId="3889" xr:uid="{00000000-0005-0000-0000-00009B070000}"/>
    <cellStyle name="Comma 25 2 2 3 5 2" xfId="9578" xr:uid="{00000000-0005-0000-0000-00009C070000}"/>
    <cellStyle name="Comma 25 2 2 3 6" xfId="6920" xr:uid="{00000000-0005-0000-0000-00009D070000}"/>
    <cellStyle name="Comma 25 2 2 4" xfId="860" xr:uid="{00000000-0005-0000-0000-00009E070000}"/>
    <cellStyle name="Comma 25 2 2 4 2" xfId="2030" xr:uid="{00000000-0005-0000-0000-00009F070000}"/>
    <cellStyle name="Comma 25 2 2 4 2 2" xfId="5377" xr:uid="{00000000-0005-0000-0000-0000A0070000}"/>
    <cellStyle name="Comma 25 2 2 4 2 2 2" xfId="10691" xr:uid="{00000000-0005-0000-0000-0000A1070000}"/>
    <cellStyle name="Comma 25 2 2 4 2 3" xfId="8033" xr:uid="{00000000-0005-0000-0000-0000A2070000}"/>
    <cellStyle name="Comma 25 2 2 4 3" xfId="2951" xr:uid="{00000000-0005-0000-0000-0000A3070000}"/>
    <cellStyle name="Comma 25 2 2 4 3 2" xfId="6254" xr:uid="{00000000-0005-0000-0000-0000A4070000}"/>
    <cellStyle name="Comma 25 2 2 4 3 2 2" xfId="11568" xr:uid="{00000000-0005-0000-0000-0000A5070000}"/>
    <cellStyle name="Comma 25 2 2 4 3 3" xfId="8910" xr:uid="{00000000-0005-0000-0000-0000A6070000}"/>
    <cellStyle name="Comma 25 2 2 4 4" xfId="4252" xr:uid="{00000000-0005-0000-0000-0000A7070000}"/>
    <cellStyle name="Comma 25 2 2 4 4 2" xfId="9814" xr:uid="{00000000-0005-0000-0000-0000A8070000}"/>
    <cellStyle name="Comma 25 2 2 4 5" xfId="7156" xr:uid="{00000000-0005-0000-0000-0000A9070000}"/>
    <cellStyle name="Comma 25 2 2 5" xfId="1585" xr:uid="{00000000-0005-0000-0000-0000AA070000}"/>
    <cellStyle name="Comma 25 2 2 5 2" xfId="4941" xr:uid="{00000000-0005-0000-0000-0000AB070000}"/>
    <cellStyle name="Comma 25 2 2 5 2 2" xfId="10255" xr:uid="{00000000-0005-0000-0000-0000AC070000}"/>
    <cellStyle name="Comma 25 2 2 5 3" xfId="7597" xr:uid="{00000000-0005-0000-0000-0000AD070000}"/>
    <cellStyle name="Comma 25 2 2 6" xfId="2507" xr:uid="{00000000-0005-0000-0000-0000AE070000}"/>
    <cellStyle name="Comma 25 2 2 6 2" xfId="5818" xr:uid="{00000000-0005-0000-0000-0000AF070000}"/>
    <cellStyle name="Comma 25 2 2 6 2 2" xfId="11132" xr:uid="{00000000-0005-0000-0000-0000B0070000}"/>
    <cellStyle name="Comma 25 2 2 6 3" xfId="8474" xr:uid="{00000000-0005-0000-0000-0000B1070000}"/>
    <cellStyle name="Comma 25 2 2 7" xfId="3567" xr:uid="{00000000-0005-0000-0000-0000B2070000}"/>
    <cellStyle name="Comma 25 2 2 7 2" xfId="9378" xr:uid="{00000000-0005-0000-0000-0000B3070000}"/>
    <cellStyle name="Comma 25 2 2 8" xfId="6715" xr:uid="{00000000-0005-0000-0000-0000B4070000}"/>
    <cellStyle name="Comma 25 2 3" xfId="206" xr:uid="{00000000-0005-0000-0000-0000B5070000}"/>
    <cellStyle name="Comma 25 2 3 2" xfId="401" xr:uid="{00000000-0005-0000-0000-0000B6070000}"/>
    <cellStyle name="Comma 25 2 3 2 2" xfId="724" xr:uid="{00000000-0005-0000-0000-0000B7070000}"/>
    <cellStyle name="Comma 25 2 3 2 2 2" xfId="1411" xr:uid="{00000000-0005-0000-0000-0000B8070000}"/>
    <cellStyle name="Comma 25 2 3 2 2 2 2" xfId="2343" xr:uid="{00000000-0005-0000-0000-0000B9070000}"/>
    <cellStyle name="Comma 25 2 3 2 2 2 2 2" xfId="5690" xr:uid="{00000000-0005-0000-0000-0000BA070000}"/>
    <cellStyle name="Comma 25 2 3 2 2 2 2 2 2" xfId="11004" xr:uid="{00000000-0005-0000-0000-0000BB070000}"/>
    <cellStyle name="Comma 25 2 3 2 2 2 2 3" xfId="8346" xr:uid="{00000000-0005-0000-0000-0000BC070000}"/>
    <cellStyle name="Comma 25 2 3 2 2 2 3" xfId="3264" xr:uid="{00000000-0005-0000-0000-0000BD070000}"/>
    <cellStyle name="Comma 25 2 3 2 2 2 3 2" xfId="6567" xr:uid="{00000000-0005-0000-0000-0000BE070000}"/>
    <cellStyle name="Comma 25 2 3 2 2 2 3 2 2" xfId="11881" xr:uid="{00000000-0005-0000-0000-0000BF070000}"/>
    <cellStyle name="Comma 25 2 3 2 2 2 3 3" xfId="9223" xr:uid="{00000000-0005-0000-0000-0000C0070000}"/>
    <cellStyle name="Comma 25 2 3 2 2 2 4" xfId="4803" xr:uid="{00000000-0005-0000-0000-0000C1070000}"/>
    <cellStyle name="Comma 25 2 3 2 2 2 4 2" xfId="10127" xr:uid="{00000000-0005-0000-0000-0000C2070000}"/>
    <cellStyle name="Comma 25 2 3 2 2 2 5" xfId="7469" xr:uid="{00000000-0005-0000-0000-0000C3070000}"/>
    <cellStyle name="Comma 25 2 3 2 2 3" xfId="1905" xr:uid="{00000000-0005-0000-0000-0000C4070000}"/>
    <cellStyle name="Comma 25 2 3 2 2 3 2" xfId="5254" xr:uid="{00000000-0005-0000-0000-0000C5070000}"/>
    <cellStyle name="Comma 25 2 3 2 2 3 2 2" xfId="10568" xr:uid="{00000000-0005-0000-0000-0000C6070000}"/>
    <cellStyle name="Comma 25 2 3 2 2 3 3" xfId="7910" xr:uid="{00000000-0005-0000-0000-0000C7070000}"/>
    <cellStyle name="Comma 25 2 3 2 2 4" xfId="2826" xr:uid="{00000000-0005-0000-0000-0000C8070000}"/>
    <cellStyle name="Comma 25 2 3 2 2 4 2" xfId="6131" xr:uid="{00000000-0005-0000-0000-0000C9070000}"/>
    <cellStyle name="Comma 25 2 3 2 2 4 2 2" xfId="11445" xr:uid="{00000000-0005-0000-0000-0000CA070000}"/>
    <cellStyle name="Comma 25 2 3 2 2 4 3" xfId="8787" xr:uid="{00000000-0005-0000-0000-0000CB070000}"/>
    <cellStyle name="Comma 25 2 3 2 2 5" xfId="4118" xr:uid="{00000000-0005-0000-0000-0000CC070000}"/>
    <cellStyle name="Comma 25 2 3 2 2 5 2" xfId="9691" xr:uid="{00000000-0005-0000-0000-0000CD070000}"/>
    <cellStyle name="Comma 25 2 3 2 2 6" xfId="7033" xr:uid="{00000000-0005-0000-0000-0000CE070000}"/>
    <cellStyle name="Comma 25 2 3 2 3" xfId="1089" xr:uid="{00000000-0005-0000-0000-0000CF070000}"/>
    <cellStyle name="Comma 25 2 3 2 3 2" xfId="2143" xr:uid="{00000000-0005-0000-0000-0000D0070000}"/>
    <cellStyle name="Comma 25 2 3 2 3 2 2" xfId="5490" xr:uid="{00000000-0005-0000-0000-0000D1070000}"/>
    <cellStyle name="Comma 25 2 3 2 3 2 2 2" xfId="10804" xr:uid="{00000000-0005-0000-0000-0000D2070000}"/>
    <cellStyle name="Comma 25 2 3 2 3 2 3" xfId="8146" xr:uid="{00000000-0005-0000-0000-0000D3070000}"/>
    <cellStyle name="Comma 25 2 3 2 3 3" xfId="3064" xr:uid="{00000000-0005-0000-0000-0000D4070000}"/>
    <cellStyle name="Comma 25 2 3 2 3 3 2" xfId="6367" xr:uid="{00000000-0005-0000-0000-0000D5070000}"/>
    <cellStyle name="Comma 25 2 3 2 3 3 2 2" xfId="11681" xr:uid="{00000000-0005-0000-0000-0000D6070000}"/>
    <cellStyle name="Comma 25 2 3 2 3 3 3" xfId="9023" xr:uid="{00000000-0005-0000-0000-0000D7070000}"/>
    <cellStyle name="Comma 25 2 3 2 3 4" xfId="4481" xr:uid="{00000000-0005-0000-0000-0000D8070000}"/>
    <cellStyle name="Comma 25 2 3 2 3 4 2" xfId="9927" xr:uid="{00000000-0005-0000-0000-0000D9070000}"/>
    <cellStyle name="Comma 25 2 3 2 3 5" xfId="7269" xr:uid="{00000000-0005-0000-0000-0000DA070000}"/>
    <cellStyle name="Comma 25 2 3 2 4" xfId="1705" xr:uid="{00000000-0005-0000-0000-0000DB070000}"/>
    <cellStyle name="Comma 25 2 3 2 4 2" xfId="5054" xr:uid="{00000000-0005-0000-0000-0000DC070000}"/>
    <cellStyle name="Comma 25 2 3 2 4 2 2" xfId="10368" xr:uid="{00000000-0005-0000-0000-0000DD070000}"/>
    <cellStyle name="Comma 25 2 3 2 4 3" xfId="7710" xr:uid="{00000000-0005-0000-0000-0000DE070000}"/>
    <cellStyle name="Comma 25 2 3 2 5" xfId="2626" xr:uid="{00000000-0005-0000-0000-0000DF070000}"/>
    <cellStyle name="Comma 25 2 3 2 5 2" xfId="5931" xr:uid="{00000000-0005-0000-0000-0000E0070000}"/>
    <cellStyle name="Comma 25 2 3 2 5 2 2" xfId="11245" xr:uid="{00000000-0005-0000-0000-0000E1070000}"/>
    <cellStyle name="Comma 25 2 3 2 5 3" xfId="8587" xr:uid="{00000000-0005-0000-0000-0000E2070000}"/>
    <cellStyle name="Comma 25 2 3 2 6" xfId="3796" xr:uid="{00000000-0005-0000-0000-0000E3070000}"/>
    <cellStyle name="Comma 25 2 3 2 6 2" xfId="9491" xr:uid="{00000000-0005-0000-0000-0000E4070000}"/>
    <cellStyle name="Comma 25 2 3 2 7" xfId="6833" xr:uid="{00000000-0005-0000-0000-0000E5070000}"/>
    <cellStyle name="Comma 25 2 3 3" xfId="575" xr:uid="{00000000-0005-0000-0000-0000E6070000}"/>
    <cellStyle name="Comma 25 2 3 3 2" xfId="1262" xr:uid="{00000000-0005-0000-0000-0000E7070000}"/>
    <cellStyle name="Comma 25 2 3 3 2 2" xfId="2254" xr:uid="{00000000-0005-0000-0000-0000E8070000}"/>
    <cellStyle name="Comma 25 2 3 3 2 2 2" xfId="5601" xr:uid="{00000000-0005-0000-0000-0000E9070000}"/>
    <cellStyle name="Comma 25 2 3 3 2 2 2 2" xfId="10915" xr:uid="{00000000-0005-0000-0000-0000EA070000}"/>
    <cellStyle name="Comma 25 2 3 3 2 2 3" xfId="8257" xr:uid="{00000000-0005-0000-0000-0000EB070000}"/>
    <cellStyle name="Comma 25 2 3 3 2 3" xfId="3175" xr:uid="{00000000-0005-0000-0000-0000EC070000}"/>
    <cellStyle name="Comma 25 2 3 3 2 3 2" xfId="6478" xr:uid="{00000000-0005-0000-0000-0000ED070000}"/>
    <cellStyle name="Comma 25 2 3 3 2 3 2 2" xfId="11792" xr:uid="{00000000-0005-0000-0000-0000EE070000}"/>
    <cellStyle name="Comma 25 2 3 3 2 3 3" xfId="9134" xr:uid="{00000000-0005-0000-0000-0000EF070000}"/>
    <cellStyle name="Comma 25 2 3 3 2 4" xfId="4654" xr:uid="{00000000-0005-0000-0000-0000F0070000}"/>
    <cellStyle name="Comma 25 2 3 3 2 4 2" xfId="10038" xr:uid="{00000000-0005-0000-0000-0000F1070000}"/>
    <cellStyle name="Comma 25 2 3 3 2 5" xfId="7380" xr:uid="{00000000-0005-0000-0000-0000F2070000}"/>
    <cellStyle name="Comma 25 2 3 3 3" xfId="1816" xr:uid="{00000000-0005-0000-0000-0000F3070000}"/>
    <cellStyle name="Comma 25 2 3 3 3 2" xfId="5165" xr:uid="{00000000-0005-0000-0000-0000F4070000}"/>
    <cellStyle name="Comma 25 2 3 3 3 2 2" xfId="10479" xr:uid="{00000000-0005-0000-0000-0000F5070000}"/>
    <cellStyle name="Comma 25 2 3 3 3 3" xfId="7821" xr:uid="{00000000-0005-0000-0000-0000F6070000}"/>
    <cellStyle name="Comma 25 2 3 3 4" xfId="2737" xr:uid="{00000000-0005-0000-0000-0000F7070000}"/>
    <cellStyle name="Comma 25 2 3 3 4 2" xfId="6042" xr:uid="{00000000-0005-0000-0000-0000F8070000}"/>
    <cellStyle name="Comma 25 2 3 3 4 2 2" xfId="11356" xr:uid="{00000000-0005-0000-0000-0000F9070000}"/>
    <cellStyle name="Comma 25 2 3 3 4 3" xfId="8698" xr:uid="{00000000-0005-0000-0000-0000FA070000}"/>
    <cellStyle name="Comma 25 2 3 3 5" xfId="3969" xr:uid="{00000000-0005-0000-0000-0000FB070000}"/>
    <cellStyle name="Comma 25 2 3 3 5 2" xfId="9602" xr:uid="{00000000-0005-0000-0000-0000FC070000}"/>
    <cellStyle name="Comma 25 2 3 3 6" xfId="6944" xr:uid="{00000000-0005-0000-0000-0000FD070000}"/>
    <cellStyle name="Comma 25 2 3 4" xfId="940" xr:uid="{00000000-0005-0000-0000-0000FE070000}"/>
    <cellStyle name="Comma 25 2 3 4 2" xfId="2054" xr:uid="{00000000-0005-0000-0000-0000FF070000}"/>
    <cellStyle name="Comma 25 2 3 4 2 2" xfId="5401" xr:uid="{00000000-0005-0000-0000-000000080000}"/>
    <cellStyle name="Comma 25 2 3 4 2 2 2" xfId="10715" xr:uid="{00000000-0005-0000-0000-000001080000}"/>
    <cellStyle name="Comma 25 2 3 4 2 3" xfId="8057" xr:uid="{00000000-0005-0000-0000-000002080000}"/>
    <cellStyle name="Comma 25 2 3 4 3" xfId="2975" xr:uid="{00000000-0005-0000-0000-000003080000}"/>
    <cellStyle name="Comma 25 2 3 4 3 2" xfId="6278" xr:uid="{00000000-0005-0000-0000-000004080000}"/>
    <cellStyle name="Comma 25 2 3 4 3 2 2" xfId="11592" xr:uid="{00000000-0005-0000-0000-000005080000}"/>
    <cellStyle name="Comma 25 2 3 4 3 3" xfId="8934" xr:uid="{00000000-0005-0000-0000-000006080000}"/>
    <cellStyle name="Comma 25 2 3 4 4" xfId="4332" xr:uid="{00000000-0005-0000-0000-000007080000}"/>
    <cellStyle name="Comma 25 2 3 4 4 2" xfId="9838" xr:uid="{00000000-0005-0000-0000-000008080000}"/>
    <cellStyle name="Comma 25 2 3 4 5" xfId="7180" xr:uid="{00000000-0005-0000-0000-000009080000}"/>
    <cellStyle name="Comma 25 2 3 5" xfId="1615" xr:uid="{00000000-0005-0000-0000-00000A080000}"/>
    <cellStyle name="Comma 25 2 3 5 2" xfId="4965" xr:uid="{00000000-0005-0000-0000-00000B080000}"/>
    <cellStyle name="Comma 25 2 3 5 2 2" xfId="10279" xr:uid="{00000000-0005-0000-0000-00000C080000}"/>
    <cellStyle name="Comma 25 2 3 5 3" xfId="7621" xr:uid="{00000000-0005-0000-0000-00000D080000}"/>
    <cellStyle name="Comma 25 2 3 6" xfId="2536" xr:uid="{00000000-0005-0000-0000-00000E080000}"/>
    <cellStyle name="Comma 25 2 3 6 2" xfId="5842" xr:uid="{00000000-0005-0000-0000-00000F080000}"/>
    <cellStyle name="Comma 25 2 3 6 2 2" xfId="11156" xr:uid="{00000000-0005-0000-0000-000010080000}"/>
    <cellStyle name="Comma 25 2 3 6 3" xfId="8498" xr:uid="{00000000-0005-0000-0000-000011080000}"/>
    <cellStyle name="Comma 25 2 3 7" xfId="3647" xr:uid="{00000000-0005-0000-0000-000012080000}"/>
    <cellStyle name="Comma 25 2 3 7 2" xfId="9402" xr:uid="{00000000-0005-0000-0000-000013080000}"/>
    <cellStyle name="Comma 25 2 3 8" xfId="6739" xr:uid="{00000000-0005-0000-0000-000014080000}"/>
    <cellStyle name="Comma 25 2 4" xfId="311" xr:uid="{00000000-0005-0000-0000-000015080000}"/>
    <cellStyle name="Comma 25 2 4 2" xfId="634" xr:uid="{00000000-0005-0000-0000-000016080000}"/>
    <cellStyle name="Comma 25 2 4 2 2" xfId="1321" xr:uid="{00000000-0005-0000-0000-000017080000}"/>
    <cellStyle name="Comma 25 2 4 2 2 2" xfId="2311" xr:uid="{00000000-0005-0000-0000-000018080000}"/>
    <cellStyle name="Comma 25 2 4 2 2 2 2" xfId="5658" xr:uid="{00000000-0005-0000-0000-000019080000}"/>
    <cellStyle name="Comma 25 2 4 2 2 2 2 2" xfId="10972" xr:uid="{00000000-0005-0000-0000-00001A080000}"/>
    <cellStyle name="Comma 25 2 4 2 2 2 3" xfId="8314" xr:uid="{00000000-0005-0000-0000-00001B080000}"/>
    <cellStyle name="Comma 25 2 4 2 2 3" xfId="3232" xr:uid="{00000000-0005-0000-0000-00001C080000}"/>
    <cellStyle name="Comma 25 2 4 2 2 3 2" xfId="6535" xr:uid="{00000000-0005-0000-0000-00001D080000}"/>
    <cellStyle name="Comma 25 2 4 2 2 3 2 2" xfId="11849" xr:uid="{00000000-0005-0000-0000-00001E080000}"/>
    <cellStyle name="Comma 25 2 4 2 2 3 3" xfId="9191" xr:uid="{00000000-0005-0000-0000-00001F080000}"/>
    <cellStyle name="Comma 25 2 4 2 2 4" xfId="4713" xr:uid="{00000000-0005-0000-0000-000020080000}"/>
    <cellStyle name="Comma 25 2 4 2 2 4 2" xfId="10095" xr:uid="{00000000-0005-0000-0000-000021080000}"/>
    <cellStyle name="Comma 25 2 4 2 2 5" xfId="7437" xr:uid="{00000000-0005-0000-0000-000022080000}"/>
    <cellStyle name="Comma 25 2 4 2 3" xfId="1873" xr:uid="{00000000-0005-0000-0000-000023080000}"/>
    <cellStyle name="Comma 25 2 4 2 3 2" xfId="5222" xr:uid="{00000000-0005-0000-0000-000024080000}"/>
    <cellStyle name="Comma 25 2 4 2 3 2 2" xfId="10536" xr:uid="{00000000-0005-0000-0000-000025080000}"/>
    <cellStyle name="Comma 25 2 4 2 3 3" xfId="7878" xr:uid="{00000000-0005-0000-0000-000026080000}"/>
    <cellStyle name="Comma 25 2 4 2 4" xfId="2794" xr:uid="{00000000-0005-0000-0000-000027080000}"/>
    <cellStyle name="Comma 25 2 4 2 4 2" xfId="6099" xr:uid="{00000000-0005-0000-0000-000028080000}"/>
    <cellStyle name="Comma 25 2 4 2 4 2 2" xfId="11413" xr:uid="{00000000-0005-0000-0000-000029080000}"/>
    <cellStyle name="Comma 25 2 4 2 4 3" xfId="8755" xr:uid="{00000000-0005-0000-0000-00002A080000}"/>
    <cellStyle name="Comma 25 2 4 2 5" xfId="4028" xr:uid="{00000000-0005-0000-0000-00002B080000}"/>
    <cellStyle name="Comma 25 2 4 2 5 2" xfId="9659" xr:uid="{00000000-0005-0000-0000-00002C080000}"/>
    <cellStyle name="Comma 25 2 4 2 6" xfId="7001" xr:uid="{00000000-0005-0000-0000-00002D080000}"/>
    <cellStyle name="Comma 25 2 4 3" xfId="999" xr:uid="{00000000-0005-0000-0000-00002E080000}"/>
    <cellStyle name="Comma 25 2 4 3 2" xfId="2111" xr:uid="{00000000-0005-0000-0000-00002F080000}"/>
    <cellStyle name="Comma 25 2 4 3 2 2" xfId="5458" xr:uid="{00000000-0005-0000-0000-000030080000}"/>
    <cellStyle name="Comma 25 2 4 3 2 2 2" xfId="10772" xr:uid="{00000000-0005-0000-0000-000031080000}"/>
    <cellStyle name="Comma 25 2 4 3 2 3" xfId="8114" xr:uid="{00000000-0005-0000-0000-000032080000}"/>
    <cellStyle name="Comma 25 2 4 3 3" xfId="3032" xr:uid="{00000000-0005-0000-0000-000033080000}"/>
    <cellStyle name="Comma 25 2 4 3 3 2" xfId="6335" xr:uid="{00000000-0005-0000-0000-000034080000}"/>
    <cellStyle name="Comma 25 2 4 3 3 2 2" xfId="11649" xr:uid="{00000000-0005-0000-0000-000035080000}"/>
    <cellStyle name="Comma 25 2 4 3 3 3" xfId="8991" xr:uid="{00000000-0005-0000-0000-000036080000}"/>
    <cellStyle name="Comma 25 2 4 3 4" xfId="4391" xr:uid="{00000000-0005-0000-0000-000037080000}"/>
    <cellStyle name="Comma 25 2 4 3 4 2" xfId="9895" xr:uid="{00000000-0005-0000-0000-000038080000}"/>
    <cellStyle name="Comma 25 2 4 3 5" xfId="7237" xr:uid="{00000000-0005-0000-0000-000039080000}"/>
    <cellStyle name="Comma 25 2 4 4" xfId="1673" xr:uid="{00000000-0005-0000-0000-00003A080000}"/>
    <cellStyle name="Comma 25 2 4 4 2" xfId="5022" xr:uid="{00000000-0005-0000-0000-00003B080000}"/>
    <cellStyle name="Comma 25 2 4 4 2 2" xfId="10336" xr:uid="{00000000-0005-0000-0000-00003C080000}"/>
    <cellStyle name="Comma 25 2 4 4 3" xfId="7678" xr:uid="{00000000-0005-0000-0000-00003D080000}"/>
    <cellStyle name="Comma 25 2 4 5" xfId="2594" xr:uid="{00000000-0005-0000-0000-00003E080000}"/>
    <cellStyle name="Comma 25 2 4 5 2" xfId="5899" xr:uid="{00000000-0005-0000-0000-00003F080000}"/>
    <cellStyle name="Comma 25 2 4 5 2 2" xfId="11213" xr:uid="{00000000-0005-0000-0000-000040080000}"/>
    <cellStyle name="Comma 25 2 4 5 3" xfId="8555" xr:uid="{00000000-0005-0000-0000-000041080000}"/>
    <cellStyle name="Comma 25 2 4 6" xfId="3706" xr:uid="{00000000-0005-0000-0000-000042080000}"/>
    <cellStyle name="Comma 25 2 4 6 2" xfId="9459" xr:uid="{00000000-0005-0000-0000-000043080000}"/>
    <cellStyle name="Comma 25 2 4 7" xfId="6801" xr:uid="{00000000-0005-0000-0000-000044080000}"/>
    <cellStyle name="Comma 25 2 5" xfId="486" xr:uid="{00000000-0005-0000-0000-000045080000}"/>
    <cellStyle name="Comma 25 2 5 2" xfId="1173" xr:uid="{00000000-0005-0000-0000-000046080000}"/>
    <cellStyle name="Comma 25 2 5 2 2" xfId="2222" xr:uid="{00000000-0005-0000-0000-000047080000}"/>
    <cellStyle name="Comma 25 2 5 2 2 2" xfId="5569" xr:uid="{00000000-0005-0000-0000-000048080000}"/>
    <cellStyle name="Comma 25 2 5 2 2 2 2" xfId="10883" xr:uid="{00000000-0005-0000-0000-000049080000}"/>
    <cellStyle name="Comma 25 2 5 2 2 3" xfId="8225" xr:uid="{00000000-0005-0000-0000-00004A080000}"/>
    <cellStyle name="Comma 25 2 5 2 3" xfId="3143" xr:uid="{00000000-0005-0000-0000-00004B080000}"/>
    <cellStyle name="Comma 25 2 5 2 3 2" xfId="6446" xr:uid="{00000000-0005-0000-0000-00004C080000}"/>
    <cellStyle name="Comma 25 2 5 2 3 2 2" xfId="11760" xr:uid="{00000000-0005-0000-0000-00004D080000}"/>
    <cellStyle name="Comma 25 2 5 2 3 3" xfId="9102" xr:uid="{00000000-0005-0000-0000-00004E080000}"/>
    <cellStyle name="Comma 25 2 5 2 4" xfId="4565" xr:uid="{00000000-0005-0000-0000-00004F080000}"/>
    <cellStyle name="Comma 25 2 5 2 4 2" xfId="10006" xr:uid="{00000000-0005-0000-0000-000050080000}"/>
    <cellStyle name="Comma 25 2 5 2 5" xfId="7348" xr:uid="{00000000-0005-0000-0000-000051080000}"/>
    <cellStyle name="Comma 25 2 5 3" xfId="1784" xr:uid="{00000000-0005-0000-0000-000052080000}"/>
    <cellStyle name="Comma 25 2 5 3 2" xfId="5133" xr:uid="{00000000-0005-0000-0000-000053080000}"/>
    <cellStyle name="Comma 25 2 5 3 2 2" xfId="10447" xr:uid="{00000000-0005-0000-0000-000054080000}"/>
    <cellStyle name="Comma 25 2 5 3 3" xfId="7789" xr:uid="{00000000-0005-0000-0000-000055080000}"/>
    <cellStyle name="Comma 25 2 5 4" xfId="2705" xr:uid="{00000000-0005-0000-0000-000056080000}"/>
    <cellStyle name="Comma 25 2 5 4 2" xfId="6010" xr:uid="{00000000-0005-0000-0000-000057080000}"/>
    <cellStyle name="Comma 25 2 5 4 2 2" xfId="11324" xr:uid="{00000000-0005-0000-0000-000058080000}"/>
    <cellStyle name="Comma 25 2 5 4 3" xfId="8666" xr:uid="{00000000-0005-0000-0000-000059080000}"/>
    <cellStyle name="Comma 25 2 5 5" xfId="3880" xr:uid="{00000000-0005-0000-0000-00005A080000}"/>
    <cellStyle name="Comma 25 2 5 5 2" xfId="9570" xr:uid="{00000000-0005-0000-0000-00005B080000}"/>
    <cellStyle name="Comma 25 2 5 6" xfId="6912" xr:uid="{00000000-0005-0000-0000-00005C080000}"/>
    <cellStyle name="Comma 25 2 6" xfId="851" xr:uid="{00000000-0005-0000-0000-00005D080000}"/>
    <cellStyle name="Comma 25 2 6 2" xfId="2022" xr:uid="{00000000-0005-0000-0000-00005E080000}"/>
    <cellStyle name="Comma 25 2 6 2 2" xfId="5369" xr:uid="{00000000-0005-0000-0000-00005F080000}"/>
    <cellStyle name="Comma 25 2 6 2 2 2" xfId="10683" xr:uid="{00000000-0005-0000-0000-000060080000}"/>
    <cellStyle name="Comma 25 2 6 2 3" xfId="8025" xr:uid="{00000000-0005-0000-0000-000061080000}"/>
    <cellStyle name="Comma 25 2 6 3" xfId="2943" xr:uid="{00000000-0005-0000-0000-000062080000}"/>
    <cellStyle name="Comma 25 2 6 3 2" xfId="6246" xr:uid="{00000000-0005-0000-0000-000063080000}"/>
    <cellStyle name="Comma 25 2 6 3 2 2" xfId="11560" xr:uid="{00000000-0005-0000-0000-000064080000}"/>
    <cellStyle name="Comma 25 2 6 3 3" xfId="8902" xr:uid="{00000000-0005-0000-0000-000065080000}"/>
    <cellStyle name="Comma 25 2 6 4" xfId="4243" xr:uid="{00000000-0005-0000-0000-000066080000}"/>
    <cellStyle name="Comma 25 2 6 4 2" xfId="9806" xr:uid="{00000000-0005-0000-0000-000067080000}"/>
    <cellStyle name="Comma 25 2 6 5" xfId="7148" xr:uid="{00000000-0005-0000-0000-000068080000}"/>
    <cellStyle name="Comma 25 2 7" xfId="1545" xr:uid="{00000000-0005-0000-0000-000069080000}"/>
    <cellStyle name="Comma 25 2 7 2" xfId="4933" xr:uid="{00000000-0005-0000-0000-00006A080000}"/>
    <cellStyle name="Comma 25 2 7 2 2" xfId="10247" xr:uid="{00000000-0005-0000-0000-00006B080000}"/>
    <cellStyle name="Comma 25 2 7 3" xfId="7589" xr:uid="{00000000-0005-0000-0000-00006C080000}"/>
    <cellStyle name="Comma 25 2 8" xfId="2467" xr:uid="{00000000-0005-0000-0000-00006D080000}"/>
    <cellStyle name="Comma 25 2 8 2" xfId="5810" xr:uid="{00000000-0005-0000-0000-00006E080000}"/>
    <cellStyle name="Comma 25 2 8 2 2" xfId="11124" xr:uid="{00000000-0005-0000-0000-00006F080000}"/>
    <cellStyle name="Comma 25 2 8 3" xfId="8466" xr:uid="{00000000-0005-0000-0000-000070080000}"/>
    <cellStyle name="Comma 25 2 9" xfId="3558" xr:uid="{00000000-0005-0000-0000-000071080000}"/>
    <cellStyle name="Comma 25 2 9 2" xfId="9370" xr:uid="{00000000-0005-0000-0000-000072080000}"/>
    <cellStyle name="Comma 25 3" xfId="77" xr:uid="{00000000-0005-0000-0000-000073080000}"/>
    <cellStyle name="Comma 25 3 10" xfId="3563" xr:uid="{00000000-0005-0000-0000-000074080000}"/>
    <cellStyle name="Comma 25 3 10 2" xfId="9375" xr:uid="{00000000-0005-0000-0000-000075080000}"/>
    <cellStyle name="Comma 25 3 11" xfId="6712" xr:uid="{00000000-0005-0000-0000-000076080000}"/>
    <cellStyle name="Comma 25 3 2" xfId="185" xr:uid="{00000000-0005-0000-0000-000077080000}"/>
    <cellStyle name="Comma 25 3 2 2" xfId="217" xr:uid="{00000000-0005-0000-0000-000078080000}"/>
    <cellStyle name="Comma 25 3 2 2 2" xfId="412" xr:uid="{00000000-0005-0000-0000-000079080000}"/>
    <cellStyle name="Comma 25 3 2 2 2 2" xfId="735" xr:uid="{00000000-0005-0000-0000-00007A080000}"/>
    <cellStyle name="Comma 25 3 2 2 2 2 2" xfId="1422" xr:uid="{00000000-0005-0000-0000-00007B080000}"/>
    <cellStyle name="Comma 25 3 2 2 2 2 2 2" xfId="2354" xr:uid="{00000000-0005-0000-0000-00007C080000}"/>
    <cellStyle name="Comma 25 3 2 2 2 2 2 2 2" xfId="5701" xr:uid="{00000000-0005-0000-0000-00007D080000}"/>
    <cellStyle name="Comma 25 3 2 2 2 2 2 2 2 2" xfId="11015" xr:uid="{00000000-0005-0000-0000-00007E080000}"/>
    <cellStyle name="Comma 25 3 2 2 2 2 2 2 3" xfId="8357" xr:uid="{00000000-0005-0000-0000-00007F080000}"/>
    <cellStyle name="Comma 25 3 2 2 2 2 2 3" xfId="3275" xr:uid="{00000000-0005-0000-0000-000080080000}"/>
    <cellStyle name="Comma 25 3 2 2 2 2 2 3 2" xfId="6578" xr:uid="{00000000-0005-0000-0000-000081080000}"/>
    <cellStyle name="Comma 25 3 2 2 2 2 2 3 2 2" xfId="11892" xr:uid="{00000000-0005-0000-0000-000082080000}"/>
    <cellStyle name="Comma 25 3 2 2 2 2 2 3 3" xfId="9234" xr:uid="{00000000-0005-0000-0000-000083080000}"/>
    <cellStyle name="Comma 25 3 2 2 2 2 2 4" xfId="4814" xr:uid="{00000000-0005-0000-0000-000084080000}"/>
    <cellStyle name="Comma 25 3 2 2 2 2 2 4 2" xfId="10138" xr:uid="{00000000-0005-0000-0000-000085080000}"/>
    <cellStyle name="Comma 25 3 2 2 2 2 2 5" xfId="7480" xr:uid="{00000000-0005-0000-0000-000086080000}"/>
    <cellStyle name="Comma 25 3 2 2 2 2 3" xfId="1916" xr:uid="{00000000-0005-0000-0000-000087080000}"/>
    <cellStyle name="Comma 25 3 2 2 2 2 3 2" xfId="5265" xr:uid="{00000000-0005-0000-0000-000088080000}"/>
    <cellStyle name="Comma 25 3 2 2 2 2 3 2 2" xfId="10579" xr:uid="{00000000-0005-0000-0000-000089080000}"/>
    <cellStyle name="Comma 25 3 2 2 2 2 3 3" xfId="7921" xr:uid="{00000000-0005-0000-0000-00008A080000}"/>
    <cellStyle name="Comma 25 3 2 2 2 2 4" xfId="2837" xr:uid="{00000000-0005-0000-0000-00008B080000}"/>
    <cellStyle name="Comma 25 3 2 2 2 2 4 2" xfId="6142" xr:uid="{00000000-0005-0000-0000-00008C080000}"/>
    <cellStyle name="Comma 25 3 2 2 2 2 4 2 2" xfId="11456" xr:uid="{00000000-0005-0000-0000-00008D080000}"/>
    <cellStyle name="Comma 25 3 2 2 2 2 4 3" xfId="8798" xr:uid="{00000000-0005-0000-0000-00008E080000}"/>
    <cellStyle name="Comma 25 3 2 2 2 2 5" xfId="4129" xr:uid="{00000000-0005-0000-0000-00008F080000}"/>
    <cellStyle name="Comma 25 3 2 2 2 2 5 2" xfId="9702" xr:uid="{00000000-0005-0000-0000-000090080000}"/>
    <cellStyle name="Comma 25 3 2 2 2 2 6" xfId="7044" xr:uid="{00000000-0005-0000-0000-000091080000}"/>
    <cellStyle name="Comma 25 3 2 2 2 3" xfId="1100" xr:uid="{00000000-0005-0000-0000-000092080000}"/>
    <cellStyle name="Comma 25 3 2 2 2 3 2" xfId="2154" xr:uid="{00000000-0005-0000-0000-000093080000}"/>
    <cellStyle name="Comma 25 3 2 2 2 3 2 2" xfId="5501" xr:uid="{00000000-0005-0000-0000-000094080000}"/>
    <cellStyle name="Comma 25 3 2 2 2 3 2 2 2" xfId="10815" xr:uid="{00000000-0005-0000-0000-000095080000}"/>
    <cellStyle name="Comma 25 3 2 2 2 3 2 3" xfId="8157" xr:uid="{00000000-0005-0000-0000-000096080000}"/>
    <cellStyle name="Comma 25 3 2 2 2 3 3" xfId="3075" xr:uid="{00000000-0005-0000-0000-000097080000}"/>
    <cellStyle name="Comma 25 3 2 2 2 3 3 2" xfId="6378" xr:uid="{00000000-0005-0000-0000-000098080000}"/>
    <cellStyle name="Comma 25 3 2 2 2 3 3 2 2" xfId="11692" xr:uid="{00000000-0005-0000-0000-000099080000}"/>
    <cellStyle name="Comma 25 3 2 2 2 3 3 3" xfId="9034" xr:uid="{00000000-0005-0000-0000-00009A080000}"/>
    <cellStyle name="Comma 25 3 2 2 2 3 4" xfId="4492" xr:uid="{00000000-0005-0000-0000-00009B080000}"/>
    <cellStyle name="Comma 25 3 2 2 2 3 4 2" xfId="9938" xr:uid="{00000000-0005-0000-0000-00009C080000}"/>
    <cellStyle name="Comma 25 3 2 2 2 3 5" xfId="7280" xr:uid="{00000000-0005-0000-0000-00009D080000}"/>
    <cellStyle name="Comma 25 3 2 2 2 4" xfId="1716" xr:uid="{00000000-0005-0000-0000-00009E080000}"/>
    <cellStyle name="Comma 25 3 2 2 2 4 2" xfId="5065" xr:uid="{00000000-0005-0000-0000-00009F080000}"/>
    <cellStyle name="Comma 25 3 2 2 2 4 2 2" xfId="10379" xr:uid="{00000000-0005-0000-0000-0000A0080000}"/>
    <cellStyle name="Comma 25 3 2 2 2 4 3" xfId="7721" xr:uid="{00000000-0005-0000-0000-0000A1080000}"/>
    <cellStyle name="Comma 25 3 2 2 2 5" xfId="2637" xr:uid="{00000000-0005-0000-0000-0000A2080000}"/>
    <cellStyle name="Comma 25 3 2 2 2 5 2" xfId="5942" xr:uid="{00000000-0005-0000-0000-0000A3080000}"/>
    <cellStyle name="Comma 25 3 2 2 2 5 2 2" xfId="11256" xr:uid="{00000000-0005-0000-0000-0000A4080000}"/>
    <cellStyle name="Comma 25 3 2 2 2 5 3" xfId="8598" xr:uid="{00000000-0005-0000-0000-0000A5080000}"/>
    <cellStyle name="Comma 25 3 2 2 2 6" xfId="3807" xr:uid="{00000000-0005-0000-0000-0000A6080000}"/>
    <cellStyle name="Comma 25 3 2 2 2 6 2" xfId="9502" xr:uid="{00000000-0005-0000-0000-0000A7080000}"/>
    <cellStyle name="Comma 25 3 2 2 2 7" xfId="6844" xr:uid="{00000000-0005-0000-0000-0000A8080000}"/>
    <cellStyle name="Comma 25 3 2 2 3" xfId="586" xr:uid="{00000000-0005-0000-0000-0000A9080000}"/>
    <cellStyle name="Comma 25 3 2 2 3 2" xfId="1273" xr:uid="{00000000-0005-0000-0000-0000AA080000}"/>
    <cellStyle name="Comma 25 3 2 2 3 2 2" xfId="2265" xr:uid="{00000000-0005-0000-0000-0000AB080000}"/>
    <cellStyle name="Comma 25 3 2 2 3 2 2 2" xfId="5612" xr:uid="{00000000-0005-0000-0000-0000AC080000}"/>
    <cellStyle name="Comma 25 3 2 2 3 2 2 2 2" xfId="10926" xr:uid="{00000000-0005-0000-0000-0000AD080000}"/>
    <cellStyle name="Comma 25 3 2 2 3 2 2 3" xfId="8268" xr:uid="{00000000-0005-0000-0000-0000AE080000}"/>
    <cellStyle name="Comma 25 3 2 2 3 2 3" xfId="3186" xr:uid="{00000000-0005-0000-0000-0000AF080000}"/>
    <cellStyle name="Comma 25 3 2 2 3 2 3 2" xfId="6489" xr:uid="{00000000-0005-0000-0000-0000B0080000}"/>
    <cellStyle name="Comma 25 3 2 2 3 2 3 2 2" xfId="11803" xr:uid="{00000000-0005-0000-0000-0000B1080000}"/>
    <cellStyle name="Comma 25 3 2 2 3 2 3 3" xfId="9145" xr:uid="{00000000-0005-0000-0000-0000B2080000}"/>
    <cellStyle name="Comma 25 3 2 2 3 2 4" xfId="4665" xr:uid="{00000000-0005-0000-0000-0000B3080000}"/>
    <cellStyle name="Comma 25 3 2 2 3 2 4 2" xfId="10049" xr:uid="{00000000-0005-0000-0000-0000B4080000}"/>
    <cellStyle name="Comma 25 3 2 2 3 2 5" xfId="7391" xr:uid="{00000000-0005-0000-0000-0000B5080000}"/>
    <cellStyle name="Comma 25 3 2 2 3 3" xfId="1827" xr:uid="{00000000-0005-0000-0000-0000B6080000}"/>
    <cellStyle name="Comma 25 3 2 2 3 3 2" xfId="5176" xr:uid="{00000000-0005-0000-0000-0000B7080000}"/>
    <cellStyle name="Comma 25 3 2 2 3 3 2 2" xfId="10490" xr:uid="{00000000-0005-0000-0000-0000B8080000}"/>
    <cellStyle name="Comma 25 3 2 2 3 3 3" xfId="7832" xr:uid="{00000000-0005-0000-0000-0000B9080000}"/>
    <cellStyle name="Comma 25 3 2 2 3 4" xfId="2748" xr:uid="{00000000-0005-0000-0000-0000BA080000}"/>
    <cellStyle name="Comma 25 3 2 2 3 4 2" xfId="6053" xr:uid="{00000000-0005-0000-0000-0000BB080000}"/>
    <cellStyle name="Comma 25 3 2 2 3 4 2 2" xfId="11367" xr:uid="{00000000-0005-0000-0000-0000BC080000}"/>
    <cellStyle name="Comma 25 3 2 2 3 4 3" xfId="8709" xr:uid="{00000000-0005-0000-0000-0000BD080000}"/>
    <cellStyle name="Comma 25 3 2 2 3 5" xfId="3980" xr:uid="{00000000-0005-0000-0000-0000BE080000}"/>
    <cellStyle name="Comma 25 3 2 2 3 5 2" xfId="9613" xr:uid="{00000000-0005-0000-0000-0000BF080000}"/>
    <cellStyle name="Comma 25 3 2 2 3 6" xfId="6955" xr:uid="{00000000-0005-0000-0000-0000C0080000}"/>
    <cellStyle name="Comma 25 3 2 2 4" xfId="951" xr:uid="{00000000-0005-0000-0000-0000C1080000}"/>
    <cellStyle name="Comma 25 3 2 2 4 2" xfId="2065" xr:uid="{00000000-0005-0000-0000-0000C2080000}"/>
    <cellStyle name="Comma 25 3 2 2 4 2 2" xfId="5412" xr:uid="{00000000-0005-0000-0000-0000C3080000}"/>
    <cellStyle name="Comma 25 3 2 2 4 2 2 2" xfId="10726" xr:uid="{00000000-0005-0000-0000-0000C4080000}"/>
    <cellStyle name="Comma 25 3 2 2 4 2 3" xfId="8068" xr:uid="{00000000-0005-0000-0000-0000C5080000}"/>
    <cellStyle name="Comma 25 3 2 2 4 3" xfId="2986" xr:uid="{00000000-0005-0000-0000-0000C6080000}"/>
    <cellStyle name="Comma 25 3 2 2 4 3 2" xfId="6289" xr:uid="{00000000-0005-0000-0000-0000C7080000}"/>
    <cellStyle name="Comma 25 3 2 2 4 3 2 2" xfId="11603" xr:uid="{00000000-0005-0000-0000-0000C8080000}"/>
    <cellStyle name="Comma 25 3 2 2 4 3 3" xfId="8945" xr:uid="{00000000-0005-0000-0000-0000C9080000}"/>
    <cellStyle name="Comma 25 3 2 2 4 4" xfId="4343" xr:uid="{00000000-0005-0000-0000-0000CA080000}"/>
    <cellStyle name="Comma 25 3 2 2 4 4 2" xfId="9849" xr:uid="{00000000-0005-0000-0000-0000CB080000}"/>
    <cellStyle name="Comma 25 3 2 2 4 5" xfId="7191" xr:uid="{00000000-0005-0000-0000-0000CC080000}"/>
    <cellStyle name="Comma 25 3 2 2 5" xfId="1626" xr:uid="{00000000-0005-0000-0000-0000CD080000}"/>
    <cellStyle name="Comma 25 3 2 2 5 2" xfId="4976" xr:uid="{00000000-0005-0000-0000-0000CE080000}"/>
    <cellStyle name="Comma 25 3 2 2 5 2 2" xfId="10290" xr:uid="{00000000-0005-0000-0000-0000CF080000}"/>
    <cellStyle name="Comma 25 3 2 2 5 3" xfId="7632" xr:uid="{00000000-0005-0000-0000-0000D0080000}"/>
    <cellStyle name="Comma 25 3 2 2 6" xfId="2547" xr:uid="{00000000-0005-0000-0000-0000D1080000}"/>
    <cellStyle name="Comma 25 3 2 2 6 2" xfId="5853" xr:uid="{00000000-0005-0000-0000-0000D2080000}"/>
    <cellStyle name="Comma 25 3 2 2 6 2 2" xfId="11167" xr:uid="{00000000-0005-0000-0000-0000D3080000}"/>
    <cellStyle name="Comma 25 3 2 2 6 3" xfId="8509" xr:uid="{00000000-0005-0000-0000-0000D4080000}"/>
    <cellStyle name="Comma 25 3 2 2 7" xfId="3658" xr:uid="{00000000-0005-0000-0000-0000D5080000}"/>
    <cellStyle name="Comma 25 3 2 2 7 2" xfId="9413" xr:uid="{00000000-0005-0000-0000-0000D6080000}"/>
    <cellStyle name="Comma 25 3 2 2 8" xfId="6750" xr:uid="{00000000-0005-0000-0000-0000D7080000}"/>
    <cellStyle name="Comma 25 3 2 3" xfId="386" xr:uid="{00000000-0005-0000-0000-0000D8080000}"/>
    <cellStyle name="Comma 25 3 2 3 2" xfId="709" xr:uid="{00000000-0005-0000-0000-0000D9080000}"/>
    <cellStyle name="Comma 25 3 2 3 2 2" xfId="1396" xr:uid="{00000000-0005-0000-0000-0000DA080000}"/>
    <cellStyle name="Comma 25 3 2 3 2 2 2" xfId="2329" xr:uid="{00000000-0005-0000-0000-0000DB080000}"/>
    <cellStyle name="Comma 25 3 2 3 2 2 2 2" xfId="5676" xr:uid="{00000000-0005-0000-0000-0000DC080000}"/>
    <cellStyle name="Comma 25 3 2 3 2 2 2 2 2" xfId="10990" xr:uid="{00000000-0005-0000-0000-0000DD080000}"/>
    <cellStyle name="Comma 25 3 2 3 2 2 2 3" xfId="8332" xr:uid="{00000000-0005-0000-0000-0000DE080000}"/>
    <cellStyle name="Comma 25 3 2 3 2 2 3" xfId="3250" xr:uid="{00000000-0005-0000-0000-0000DF080000}"/>
    <cellStyle name="Comma 25 3 2 3 2 2 3 2" xfId="6553" xr:uid="{00000000-0005-0000-0000-0000E0080000}"/>
    <cellStyle name="Comma 25 3 2 3 2 2 3 2 2" xfId="11867" xr:uid="{00000000-0005-0000-0000-0000E1080000}"/>
    <cellStyle name="Comma 25 3 2 3 2 2 3 3" xfId="9209" xr:uid="{00000000-0005-0000-0000-0000E2080000}"/>
    <cellStyle name="Comma 25 3 2 3 2 2 4" xfId="4788" xr:uid="{00000000-0005-0000-0000-0000E3080000}"/>
    <cellStyle name="Comma 25 3 2 3 2 2 4 2" xfId="10113" xr:uid="{00000000-0005-0000-0000-0000E4080000}"/>
    <cellStyle name="Comma 25 3 2 3 2 2 5" xfId="7455" xr:uid="{00000000-0005-0000-0000-0000E5080000}"/>
    <cellStyle name="Comma 25 3 2 3 2 3" xfId="1891" xr:uid="{00000000-0005-0000-0000-0000E6080000}"/>
    <cellStyle name="Comma 25 3 2 3 2 3 2" xfId="5240" xr:uid="{00000000-0005-0000-0000-0000E7080000}"/>
    <cellStyle name="Comma 25 3 2 3 2 3 2 2" xfId="10554" xr:uid="{00000000-0005-0000-0000-0000E8080000}"/>
    <cellStyle name="Comma 25 3 2 3 2 3 3" xfId="7896" xr:uid="{00000000-0005-0000-0000-0000E9080000}"/>
    <cellStyle name="Comma 25 3 2 3 2 4" xfId="2812" xr:uid="{00000000-0005-0000-0000-0000EA080000}"/>
    <cellStyle name="Comma 25 3 2 3 2 4 2" xfId="6117" xr:uid="{00000000-0005-0000-0000-0000EB080000}"/>
    <cellStyle name="Comma 25 3 2 3 2 4 2 2" xfId="11431" xr:uid="{00000000-0005-0000-0000-0000EC080000}"/>
    <cellStyle name="Comma 25 3 2 3 2 4 3" xfId="8773" xr:uid="{00000000-0005-0000-0000-0000ED080000}"/>
    <cellStyle name="Comma 25 3 2 3 2 5" xfId="4103" xr:uid="{00000000-0005-0000-0000-0000EE080000}"/>
    <cellStyle name="Comma 25 3 2 3 2 5 2" xfId="9677" xr:uid="{00000000-0005-0000-0000-0000EF080000}"/>
    <cellStyle name="Comma 25 3 2 3 2 6" xfId="7019" xr:uid="{00000000-0005-0000-0000-0000F0080000}"/>
    <cellStyle name="Comma 25 3 2 3 3" xfId="1074" xr:uid="{00000000-0005-0000-0000-0000F1080000}"/>
    <cellStyle name="Comma 25 3 2 3 3 2" xfId="2129" xr:uid="{00000000-0005-0000-0000-0000F2080000}"/>
    <cellStyle name="Comma 25 3 2 3 3 2 2" xfId="5476" xr:uid="{00000000-0005-0000-0000-0000F3080000}"/>
    <cellStyle name="Comma 25 3 2 3 3 2 2 2" xfId="10790" xr:uid="{00000000-0005-0000-0000-0000F4080000}"/>
    <cellStyle name="Comma 25 3 2 3 3 2 3" xfId="8132" xr:uid="{00000000-0005-0000-0000-0000F5080000}"/>
    <cellStyle name="Comma 25 3 2 3 3 3" xfId="3050" xr:uid="{00000000-0005-0000-0000-0000F6080000}"/>
    <cellStyle name="Comma 25 3 2 3 3 3 2" xfId="6353" xr:uid="{00000000-0005-0000-0000-0000F7080000}"/>
    <cellStyle name="Comma 25 3 2 3 3 3 2 2" xfId="11667" xr:uid="{00000000-0005-0000-0000-0000F8080000}"/>
    <cellStyle name="Comma 25 3 2 3 3 3 3" xfId="9009" xr:uid="{00000000-0005-0000-0000-0000F9080000}"/>
    <cellStyle name="Comma 25 3 2 3 3 4" xfId="4466" xr:uid="{00000000-0005-0000-0000-0000FA080000}"/>
    <cellStyle name="Comma 25 3 2 3 3 4 2" xfId="9913" xr:uid="{00000000-0005-0000-0000-0000FB080000}"/>
    <cellStyle name="Comma 25 3 2 3 3 5" xfId="7255" xr:uid="{00000000-0005-0000-0000-0000FC080000}"/>
    <cellStyle name="Comma 25 3 2 3 4" xfId="1691" xr:uid="{00000000-0005-0000-0000-0000FD080000}"/>
    <cellStyle name="Comma 25 3 2 3 4 2" xfId="5040" xr:uid="{00000000-0005-0000-0000-0000FE080000}"/>
    <cellStyle name="Comma 25 3 2 3 4 2 2" xfId="10354" xr:uid="{00000000-0005-0000-0000-0000FF080000}"/>
    <cellStyle name="Comma 25 3 2 3 4 3" xfId="7696" xr:uid="{00000000-0005-0000-0000-000000090000}"/>
    <cellStyle name="Comma 25 3 2 3 5" xfId="2612" xr:uid="{00000000-0005-0000-0000-000001090000}"/>
    <cellStyle name="Comma 25 3 2 3 5 2" xfId="5917" xr:uid="{00000000-0005-0000-0000-000002090000}"/>
    <cellStyle name="Comma 25 3 2 3 5 2 2" xfId="11231" xr:uid="{00000000-0005-0000-0000-000003090000}"/>
    <cellStyle name="Comma 25 3 2 3 5 3" xfId="8573" xr:uid="{00000000-0005-0000-0000-000004090000}"/>
    <cellStyle name="Comma 25 3 2 3 6" xfId="3781" xr:uid="{00000000-0005-0000-0000-000005090000}"/>
    <cellStyle name="Comma 25 3 2 3 6 2" xfId="9477" xr:uid="{00000000-0005-0000-0000-000006090000}"/>
    <cellStyle name="Comma 25 3 2 3 7" xfId="6819" xr:uid="{00000000-0005-0000-0000-000007090000}"/>
    <cellStyle name="Comma 25 3 2 4" xfId="561" xr:uid="{00000000-0005-0000-0000-000008090000}"/>
    <cellStyle name="Comma 25 3 2 4 2" xfId="1248" xr:uid="{00000000-0005-0000-0000-000009090000}"/>
    <cellStyle name="Comma 25 3 2 4 2 2" xfId="2240" xr:uid="{00000000-0005-0000-0000-00000A090000}"/>
    <cellStyle name="Comma 25 3 2 4 2 2 2" xfId="5587" xr:uid="{00000000-0005-0000-0000-00000B090000}"/>
    <cellStyle name="Comma 25 3 2 4 2 2 2 2" xfId="10901" xr:uid="{00000000-0005-0000-0000-00000C090000}"/>
    <cellStyle name="Comma 25 3 2 4 2 2 3" xfId="8243" xr:uid="{00000000-0005-0000-0000-00000D090000}"/>
    <cellStyle name="Comma 25 3 2 4 2 3" xfId="3161" xr:uid="{00000000-0005-0000-0000-00000E090000}"/>
    <cellStyle name="Comma 25 3 2 4 2 3 2" xfId="6464" xr:uid="{00000000-0005-0000-0000-00000F090000}"/>
    <cellStyle name="Comma 25 3 2 4 2 3 2 2" xfId="11778" xr:uid="{00000000-0005-0000-0000-000010090000}"/>
    <cellStyle name="Comma 25 3 2 4 2 3 3" xfId="9120" xr:uid="{00000000-0005-0000-0000-000011090000}"/>
    <cellStyle name="Comma 25 3 2 4 2 4" xfId="4640" xr:uid="{00000000-0005-0000-0000-000012090000}"/>
    <cellStyle name="Comma 25 3 2 4 2 4 2" xfId="10024" xr:uid="{00000000-0005-0000-0000-000013090000}"/>
    <cellStyle name="Comma 25 3 2 4 2 5" xfId="7366" xr:uid="{00000000-0005-0000-0000-000014090000}"/>
    <cellStyle name="Comma 25 3 2 4 3" xfId="1802" xr:uid="{00000000-0005-0000-0000-000015090000}"/>
    <cellStyle name="Comma 25 3 2 4 3 2" xfId="5151" xr:uid="{00000000-0005-0000-0000-000016090000}"/>
    <cellStyle name="Comma 25 3 2 4 3 2 2" xfId="10465" xr:uid="{00000000-0005-0000-0000-000017090000}"/>
    <cellStyle name="Comma 25 3 2 4 3 3" xfId="7807" xr:uid="{00000000-0005-0000-0000-000018090000}"/>
    <cellStyle name="Comma 25 3 2 4 4" xfId="2723" xr:uid="{00000000-0005-0000-0000-000019090000}"/>
    <cellStyle name="Comma 25 3 2 4 4 2" xfId="6028" xr:uid="{00000000-0005-0000-0000-00001A090000}"/>
    <cellStyle name="Comma 25 3 2 4 4 2 2" xfId="11342" xr:uid="{00000000-0005-0000-0000-00001B090000}"/>
    <cellStyle name="Comma 25 3 2 4 4 3" xfId="8684" xr:uid="{00000000-0005-0000-0000-00001C090000}"/>
    <cellStyle name="Comma 25 3 2 4 5" xfId="3955" xr:uid="{00000000-0005-0000-0000-00001D090000}"/>
    <cellStyle name="Comma 25 3 2 4 5 2" xfId="9588" xr:uid="{00000000-0005-0000-0000-00001E090000}"/>
    <cellStyle name="Comma 25 3 2 4 6" xfId="6930" xr:uid="{00000000-0005-0000-0000-00001F090000}"/>
    <cellStyle name="Comma 25 3 2 5" xfId="926" xr:uid="{00000000-0005-0000-0000-000020090000}"/>
    <cellStyle name="Comma 25 3 2 5 2" xfId="2040" xr:uid="{00000000-0005-0000-0000-000021090000}"/>
    <cellStyle name="Comma 25 3 2 5 2 2" xfId="5387" xr:uid="{00000000-0005-0000-0000-000022090000}"/>
    <cellStyle name="Comma 25 3 2 5 2 2 2" xfId="10701" xr:uid="{00000000-0005-0000-0000-000023090000}"/>
    <cellStyle name="Comma 25 3 2 5 2 3" xfId="8043" xr:uid="{00000000-0005-0000-0000-000024090000}"/>
    <cellStyle name="Comma 25 3 2 5 3" xfId="2961" xr:uid="{00000000-0005-0000-0000-000025090000}"/>
    <cellStyle name="Comma 25 3 2 5 3 2" xfId="6264" xr:uid="{00000000-0005-0000-0000-000026090000}"/>
    <cellStyle name="Comma 25 3 2 5 3 2 2" xfId="11578" xr:uid="{00000000-0005-0000-0000-000027090000}"/>
    <cellStyle name="Comma 25 3 2 5 3 3" xfId="8920" xr:uid="{00000000-0005-0000-0000-000028090000}"/>
    <cellStyle name="Comma 25 3 2 5 4" xfId="4318" xr:uid="{00000000-0005-0000-0000-000029090000}"/>
    <cellStyle name="Comma 25 3 2 5 4 2" xfId="9824" xr:uid="{00000000-0005-0000-0000-00002A090000}"/>
    <cellStyle name="Comma 25 3 2 5 5" xfId="7166" xr:uid="{00000000-0005-0000-0000-00002B090000}"/>
    <cellStyle name="Comma 25 3 2 6" xfId="1595" xr:uid="{00000000-0005-0000-0000-00002C090000}"/>
    <cellStyle name="Comma 25 3 2 6 2" xfId="4951" xr:uid="{00000000-0005-0000-0000-00002D090000}"/>
    <cellStyle name="Comma 25 3 2 6 2 2" xfId="10265" xr:uid="{00000000-0005-0000-0000-00002E090000}"/>
    <cellStyle name="Comma 25 3 2 6 3" xfId="7607" xr:uid="{00000000-0005-0000-0000-00002F090000}"/>
    <cellStyle name="Comma 25 3 2 7" xfId="2517" xr:uid="{00000000-0005-0000-0000-000030090000}"/>
    <cellStyle name="Comma 25 3 2 7 2" xfId="5828" xr:uid="{00000000-0005-0000-0000-000031090000}"/>
    <cellStyle name="Comma 25 3 2 7 2 2" xfId="11142" xr:uid="{00000000-0005-0000-0000-000032090000}"/>
    <cellStyle name="Comma 25 3 2 7 3" xfId="8484" xr:uid="{00000000-0005-0000-0000-000033090000}"/>
    <cellStyle name="Comma 25 3 2 8" xfId="3633" xr:uid="{00000000-0005-0000-0000-000034090000}"/>
    <cellStyle name="Comma 25 3 2 8 2" xfId="9388" xr:uid="{00000000-0005-0000-0000-000035090000}"/>
    <cellStyle name="Comma 25 3 2 9" xfId="6725" xr:uid="{00000000-0005-0000-0000-000036090000}"/>
    <cellStyle name="Comma 25 3 3" xfId="189" xr:uid="{00000000-0005-0000-0000-000037090000}"/>
    <cellStyle name="Comma 25 3 3 2" xfId="389" xr:uid="{00000000-0005-0000-0000-000038090000}"/>
    <cellStyle name="Comma 25 3 3 2 2" xfId="712" xr:uid="{00000000-0005-0000-0000-000039090000}"/>
    <cellStyle name="Comma 25 3 3 2 2 2" xfId="1399" xr:uid="{00000000-0005-0000-0000-00003A090000}"/>
    <cellStyle name="Comma 25 3 3 2 2 2 2" xfId="2332" xr:uid="{00000000-0005-0000-0000-00003B090000}"/>
    <cellStyle name="Comma 25 3 3 2 2 2 2 2" xfId="5679" xr:uid="{00000000-0005-0000-0000-00003C090000}"/>
    <cellStyle name="Comma 25 3 3 2 2 2 2 2 2" xfId="10993" xr:uid="{00000000-0005-0000-0000-00003D090000}"/>
    <cellStyle name="Comma 25 3 3 2 2 2 2 3" xfId="8335" xr:uid="{00000000-0005-0000-0000-00003E090000}"/>
    <cellStyle name="Comma 25 3 3 2 2 2 3" xfId="3253" xr:uid="{00000000-0005-0000-0000-00003F090000}"/>
    <cellStyle name="Comma 25 3 3 2 2 2 3 2" xfId="6556" xr:uid="{00000000-0005-0000-0000-000040090000}"/>
    <cellStyle name="Comma 25 3 3 2 2 2 3 2 2" xfId="11870" xr:uid="{00000000-0005-0000-0000-000041090000}"/>
    <cellStyle name="Comma 25 3 3 2 2 2 3 3" xfId="9212" xr:uid="{00000000-0005-0000-0000-000042090000}"/>
    <cellStyle name="Comma 25 3 3 2 2 2 4" xfId="4791" xr:uid="{00000000-0005-0000-0000-000043090000}"/>
    <cellStyle name="Comma 25 3 3 2 2 2 4 2" xfId="10116" xr:uid="{00000000-0005-0000-0000-000044090000}"/>
    <cellStyle name="Comma 25 3 3 2 2 2 5" xfId="7458" xr:uid="{00000000-0005-0000-0000-000045090000}"/>
    <cellStyle name="Comma 25 3 3 2 2 3" xfId="1894" xr:uid="{00000000-0005-0000-0000-000046090000}"/>
    <cellStyle name="Comma 25 3 3 2 2 3 2" xfId="5243" xr:uid="{00000000-0005-0000-0000-000047090000}"/>
    <cellStyle name="Comma 25 3 3 2 2 3 2 2" xfId="10557" xr:uid="{00000000-0005-0000-0000-000048090000}"/>
    <cellStyle name="Comma 25 3 3 2 2 3 3" xfId="7899" xr:uid="{00000000-0005-0000-0000-000049090000}"/>
    <cellStyle name="Comma 25 3 3 2 2 4" xfId="2815" xr:uid="{00000000-0005-0000-0000-00004A090000}"/>
    <cellStyle name="Comma 25 3 3 2 2 4 2" xfId="6120" xr:uid="{00000000-0005-0000-0000-00004B090000}"/>
    <cellStyle name="Comma 25 3 3 2 2 4 2 2" xfId="11434" xr:uid="{00000000-0005-0000-0000-00004C090000}"/>
    <cellStyle name="Comma 25 3 3 2 2 4 3" xfId="8776" xr:uid="{00000000-0005-0000-0000-00004D090000}"/>
    <cellStyle name="Comma 25 3 3 2 2 5" xfId="4106" xr:uid="{00000000-0005-0000-0000-00004E090000}"/>
    <cellStyle name="Comma 25 3 3 2 2 5 2" xfId="9680" xr:uid="{00000000-0005-0000-0000-00004F090000}"/>
    <cellStyle name="Comma 25 3 3 2 2 6" xfId="7022" xr:uid="{00000000-0005-0000-0000-000050090000}"/>
    <cellStyle name="Comma 25 3 3 2 3" xfId="1077" xr:uid="{00000000-0005-0000-0000-000051090000}"/>
    <cellStyle name="Comma 25 3 3 2 3 2" xfId="2132" xr:uid="{00000000-0005-0000-0000-000052090000}"/>
    <cellStyle name="Comma 25 3 3 2 3 2 2" xfId="5479" xr:uid="{00000000-0005-0000-0000-000053090000}"/>
    <cellStyle name="Comma 25 3 3 2 3 2 2 2" xfId="10793" xr:uid="{00000000-0005-0000-0000-000054090000}"/>
    <cellStyle name="Comma 25 3 3 2 3 2 3" xfId="8135" xr:uid="{00000000-0005-0000-0000-000055090000}"/>
    <cellStyle name="Comma 25 3 3 2 3 3" xfId="3053" xr:uid="{00000000-0005-0000-0000-000056090000}"/>
    <cellStyle name="Comma 25 3 3 2 3 3 2" xfId="6356" xr:uid="{00000000-0005-0000-0000-000057090000}"/>
    <cellStyle name="Comma 25 3 3 2 3 3 2 2" xfId="11670" xr:uid="{00000000-0005-0000-0000-000058090000}"/>
    <cellStyle name="Comma 25 3 3 2 3 3 3" xfId="9012" xr:uid="{00000000-0005-0000-0000-000059090000}"/>
    <cellStyle name="Comma 25 3 3 2 3 4" xfId="4469" xr:uid="{00000000-0005-0000-0000-00005A090000}"/>
    <cellStyle name="Comma 25 3 3 2 3 4 2" xfId="9916" xr:uid="{00000000-0005-0000-0000-00005B090000}"/>
    <cellStyle name="Comma 25 3 3 2 3 5" xfId="7258" xr:uid="{00000000-0005-0000-0000-00005C090000}"/>
    <cellStyle name="Comma 25 3 3 2 4" xfId="1694" xr:uid="{00000000-0005-0000-0000-00005D090000}"/>
    <cellStyle name="Comma 25 3 3 2 4 2" xfId="5043" xr:uid="{00000000-0005-0000-0000-00005E090000}"/>
    <cellStyle name="Comma 25 3 3 2 4 2 2" xfId="10357" xr:uid="{00000000-0005-0000-0000-00005F090000}"/>
    <cellStyle name="Comma 25 3 3 2 4 3" xfId="7699" xr:uid="{00000000-0005-0000-0000-000060090000}"/>
    <cellStyle name="Comma 25 3 3 2 5" xfId="2615" xr:uid="{00000000-0005-0000-0000-000061090000}"/>
    <cellStyle name="Comma 25 3 3 2 5 2" xfId="5920" xr:uid="{00000000-0005-0000-0000-000062090000}"/>
    <cellStyle name="Comma 25 3 3 2 5 2 2" xfId="11234" xr:uid="{00000000-0005-0000-0000-000063090000}"/>
    <cellStyle name="Comma 25 3 3 2 5 3" xfId="8576" xr:uid="{00000000-0005-0000-0000-000064090000}"/>
    <cellStyle name="Comma 25 3 3 2 6" xfId="3784" xr:uid="{00000000-0005-0000-0000-000065090000}"/>
    <cellStyle name="Comma 25 3 3 2 6 2" xfId="9480" xr:uid="{00000000-0005-0000-0000-000066090000}"/>
    <cellStyle name="Comma 25 3 3 2 7" xfId="6822" xr:uid="{00000000-0005-0000-0000-000067090000}"/>
    <cellStyle name="Comma 25 3 3 3" xfId="564" xr:uid="{00000000-0005-0000-0000-000068090000}"/>
    <cellStyle name="Comma 25 3 3 3 2" xfId="1251" xr:uid="{00000000-0005-0000-0000-000069090000}"/>
    <cellStyle name="Comma 25 3 3 3 2 2" xfId="2243" xr:uid="{00000000-0005-0000-0000-00006A090000}"/>
    <cellStyle name="Comma 25 3 3 3 2 2 2" xfId="5590" xr:uid="{00000000-0005-0000-0000-00006B090000}"/>
    <cellStyle name="Comma 25 3 3 3 2 2 2 2" xfId="10904" xr:uid="{00000000-0005-0000-0000-00006C090000}"/>
    <cellStyle name="Comma 25 3 3 3 2 2 3" xfId="8246" xr:uid="{00000000-0005-0000-0000-00006D090000}"/>
    <cellStyle name="Comma 25 3 3 3 2 3" xfId="3164" xr:uid="{00000000-0005-0000-0000-00006E090000}"/>
    <cellStyle name="Comma 25 3 3 3 2 3 2" xfId="6467" xr:uid="{00000000-0005-0000-0000-00006F090000}"/>
    <cellStyle name="Comma 25 3 3 3 2 3 2 2" xfId="11781" xr:uid="{00000000-0005-0000-0000-000070090000}"/>
    <cellStyle name="Comma 25 3 3 3 2 3 3" xfId="9123" xr:uid="{00000000-0005-0000-0000-000071090000}"/>
    <cellStyle name="Comma 25 3 3 3 2 4" xfId="4643" xr:uid="{00000000-0005-0000-0000-000072090000}"/>
    <cellStyle name="Comma 25 3 3 3 2 4 2" xfId="10027" xr:uid="{00000000-0005-0000-0000-000073090000}"/>
    <cellStyle name="Comma 25 3 3 3 2 5" xfId="7369" xr:uid="{00000000-0005-0000-0000-000074090000}"/>
    <cellStyle name="Comma 25 3 3 3 3" xfId="1805" xr:uid="{00000000-0005-0000-0000-000075090000}"/>
    <cellStyle name="Comma 25 3 3 3 3 2" xfId="5154" xr:uid="{00000000-0005-0000-0000-000076090000}"/>
    <cellStyle name="Comma 25 3 3 3 3 2 2" xfId="10468" xr:uid="{00000000-0005-0000-0000-000077090000}"/>
    <cellStyle name="Comma 25 3 3 3 3 3" xfId="7810" xr:uid="{00000000-0005-0000-0000-000078090000}"/>
    <cellStyle name="Comma 25 3 3 3 4" xfId="2726" xr:uid="{00000000-0005-0000-0000-000079090000}"/>
    <cellStyle name="Comma 25 3 3 3 4 2" xfId="6031" xr:uid="{00000000-0005-0000-0000-00007A090000}"/>
    <cellStyle name="Comma 25 3 3 3 4 2 2" xfId="11345" xr:uid="{00000000-0005-0000-0000-00007B090000}"/>
    <cellStyle name="Comma 25 3 3 3 4 3" xfId="8687" xr:uid="{00000000-0005-0000-0000-00007C090000}"/>
    <cellStyle name="Comma 25 3 3 3 5" xfId="3958" xr:uid="{00000000-0005-0000-0000-00007D090000}"/>
    <cellStyle name="Comma 25 3 3 3 5 2" xfId="9591" xr:uid="{00000000-0005-0000-0000-00007E090000}"/>
    <cellStyle name="Comma 25 3 3 3 6" xfId="6933" xr:uid="{00000000-0005-0000-0000-00007F090000}"/>
    <cellStyle name="Comma 25 3 3 4" xfId="929" xr:uid="{00000000-0005-0000-0000-000080090000}"/>
    <cellStyle name="Comma 25 3 3 4 2" xfId="2043" xr:uid="{00000000-0005-0000-0000-000081090000}"/>
    <cellStyle name="Comma 25 3 3 4 2 2" xfId="5390" xr:uid="{00000000-0005-0000-0000-000082090000}"/>
    <cellStyle name="Comma 25 3 3 4 2 2 2" xfId="10704" xr:uid="{00000000-0005-0000-0000-000083090000}"/>
    <cellStyle name="Comma 25 3 3 4 2 3" xfId="8046" xr:uid="{00000000-0005-0000-0000-000084090000}"/>
    <cellStyle name="Comma 25 3 3 4 3" xfId="2964" xr:uid="{00000000-0005-0000-0000-000085090000}"/>
    <cellStyle name="Comma 25 3 3 4 3 2" xfId="6267" xr:uid="{00000000-0005-0000-0000-000086090000}"/>
    <cellStyle name="Comma 25 3 3 4 3 2 2" xfId="11581" xr:uid="{00000000-0005-0000-0000-000087090000}"/>
    <cellStyle name="Comma 25 3 3 4 3 3" xfId="8923" xr:uid="{00000000-0005-0000-0000-000088090000}"/>
    <cellStyle name="Comma 25 3 3 4 4" xfId="4321" xr:uid="{00000000-0005-0000-0000-000089090000}"/>
    <cellStyle name="Comma 25 3 3 4 4 2" xfId="9827" xr:uid="{00000000-0005-0000-0000-00008A090000}"/>
    <cellStyle name="Comma 25 3 3 4 5" xfId="7169" xr:uid="{00000000-0005-0000-0000-00008B090000}"/>
    <cellStyle name="Comma 25 3 3 5" xfId="1599" xr:uid="{00000000-0005-0000-0000-00008C090000}"/>
    <cellStyle name="Comma 25 3 3 5 2" xfId="4954" xr:uid="{00000000-0005-0000-0000-00008D090000}"/>
    <cellStyle name="Comma 25 3 3 5 2 2" xfId="10268" xr:uid="{00000000-0005-0000-0000-00008E090000}"/>
    <cellStyle name="Comma 25 3 3 5 3" xfId="7610" xr:uid="{00000000-0005-0000-0000-00008F090000}"/>
    <cellStyle name="Comma 25 3 3 6" xfId="2521" xr:uid="{00000000-0005-0000-0000-000090090000}"/>
    <cellStyle name="Comma 25 3 3 6 2" xfId="5831" xr:uid="{00000000-0005-0000-0000-000091090000}"/>
    <cellStyle name="Comma 25 3 3 6 2 2" xfId="11145" xr:uid="{00000000-0005-0000-0000-000092090000}"/>
    <cellStyle name="Comma 25 3 3 6 3" xfId="8487" xr:uid="{00000000-0005-0000-0000-000093090000}"/>
    <cellStyle name="Comma 25 3 3 7" xfId="3636" xr:uid="{00000000-0005-0000-0000-000094090000}"/>
    <cellStyle name="Comma 25 3 3 7 2" xfId="9391" xr:uid="{00000000-0005-0000-0000-000095090000}"/>
    <cellStyle name="Comma 25 3 3 8" xfId="6728" xr:uid="{00000000-0005-0000-0000-000096090000}"/>
    <cellStyle name="Comma 25 3 4" xfId="212" xr:uid="{00000000-0005-0000-0000-000097090000}"/>
    <cellStyle name="Comma 25 3 4 2" xfId="407" xr:uid="{00000000-0005-0000-0000-000098090000}"/>
    <cellStyle name="Comma 25 3 4 2 2" xfId="730" xr:uid="{00000000-0005-0000-0000-000099090000}"/>
    <cellStyle name="Comma 25 3 4 2 2 2" xfId="1417" xr:uid="{00000000-0005-0000-0000-00009A090000}"/>
    <cellStyle name="Comma 25 3 4 2 2 2 2" xfId="2349" xr:uid="{00000000-0005-0000-0000-00009B090000}"/>
    <cellStyle name="Comma 25 3 4 2 2 2 2 2" xfId="5696" xr:uid="{00000000-0005-0000-0000-00009C090000}"/>
    <cellStyle name="Comma 25 3 4 2 2 2 2 2 2" xfId="11010" xr:uid="{00000000-0005-0000-0000-00009D090000}"/>
    <cellStyle name="Comma 25 3 4 2 2 2 2 3" xfId="8352" xr:uid="{00000000-0005-0000-0000-00009E090000}"/>
    <cellStyle name="Comma 25 3 4 2 2 2 3" xfId="3270" xr:uid="{00000000-0005-0000-0000-00009F090000}"/>
    <cellStyle name="Comma 25 3 4 2 2 2 3 2" xfId="6573" xr:uid="{00000000-0005-0000-0000-0000A0090000}"/>
    <cellStyle name="Comma 25 3 4 2 2 2 3 2 2" xfId="11887" xr:uid="{00000000-0005-0000-0000-0000A1090000}"/>
    <cellStyle name="Comma 25 3 4 2 2 2 3 3" xfId="9229" xr:uid="{00000000-0005-0000-0000-0000A2090000}"/>
    <cellStyle name="Comma 25 3 4 2 2 2 4" xfId="4809" xr:uid="{00000000-0005-0000-0000-0000A3090000}"/>
    <cellStyle name="Comma 25 3 4 2 2 2 4 2" xfId="10133" xr:uid="{00000000-0005-0000-0000-0000A4090000}"/>
    <cellStyle name="Comma 25 3 4 2 2 2 5" xfId="7475" xr:uid="{00000000-0005-0000-0000-0000A5090000}"/>
    <cellStyle name="Comma 25 3 4 2 2 3" xfId="1911" xr:uid="{00000000-0005-0000-0000-0000A6090000}"/>
    <cellStyle name="Comma 25 3 4 2 2 3 2" xfId="5260" xr:uid="{00000000-0005-0000-0000-0000A7090000}"/>
    <cellStyle name="Comma 25 3 4 2 2 3 2 2" xfId="10574" xr:uid="{00000000-0005-0000-0000-0000A8090000}"/>
    <cellStyle name="Comma 25 3 4 2 2 3 3" xfId="7916" xr:uid="{00000000-0005-0000-0000-0000A9090000}"/>
    <cellStyle name="Comma 25 3 4 2 2 4" xfId="2832" xr:uid="{00000000-0005-0000-0000-0000AA090000}"/>
    <cellStyle name="Comma 25 3 4 2 2 4 2" xfId="6137" xr:uid="{00000000-0005-0000-0000-0000AB090000}"/>
    <cellStyle name="Comma 25 3 4 2 2 4 2 2" xfId="11451" xr:uid="{00000000-0005-0000-0000-0000AC090000}"/>
    <cellStyle name="Comma 25 3 4 2 2 4 3" xfId="8793" xr:uid="{00000000-0005-0000-0000-0000AD090000}"/>
    <cellStyle name="Comma 25 3 4 2 2 5" xfId="4124" xr:uid="{00000000-0005-0000-0000-0000AE090000}"/>
    <cellStyle name="Comma 25 3 4 2 2 5 2" xfId="9697" xr:uid="{00000000-0005-0000-0000-0000AF090000}"/>
    <cellStyle name="Comma 25 3 4 2 2 6" xfId="7039" xr:uid="{00000000-0005-0000-0000-0000B0090000}"/>
    <cellStyle name="Comma 25 3 4 2 3" xfId="1095" xr:uid="{00000000-0005-0000-0000-0000B1090000}"/>
    <cellStyle name="Comma 25 3 4 2 3 2" xfId="2149" xr:uid="{00000000-0005-0000-0000-0000B2090000}"/>
    <cellStyle name="Comma 25 3 4 2 3 2 2" xfId="5496" xr:uid="{00000000-0005-0000-0000-0000B3090000}"/>
    <cellStyle name="Comma 25 3 4 2 3 2 2 2" xfId="10810" xr:uid="{00000000-0005-0000-0000-0000B4090000}"/>
    <cellStyle name="Comma 25 3 4 2 3 2 3" xfId="8152" xr:uid="{00000000-0005-0000-0000-0000B5090000}"/>
    <cellStyle name="Comma 25 3 4 2 3 3" xfId="3070" xr:uid="{00000000-0005-0000-0000-0000B6090000}"/>
    <cellStyle name="Comma 25 3 4 2 3 3 2" xfId="6373" xr:uid="{00000000-0005-0000-0000-0000B7090000}"/>
    <cellStyle name="Comma 25 3 4 2 3 3 2 2" xfId="11687" xr:uid="{00000000-0005-0000-0000-0000B8090000}"/>
    <cellStyle name="Comma 25 3 4 2 3 3 3" xfId="9029" xr:uid="{00000000-0005-0000-0000-0000B9090000}"/>
    <cellStyle name="Comma 25 3 4 2 3 4" xfId="4487" xr:uid="{00000000-0005-0000-0000-0000BA090000}"/>
    <cellStyle name="Comma 25 3 4 2 3 4 2" xfId="9933" xr:uid="{00000000-0005-0000-0000-0000BB090000}"/>
    <cellStyle name="Comma 25 3 4 2 3 5" xfId="7275" xr:uid="{00000000-0005-0000-0000-0000BC090000}"/>
    <cellStyle name="Comma 25 3 4 2 4" xfId="1711" xr:uid="{00000000-0005-0000-0000-0000BD090000}"/>
    <cellStyle name="Comma 25 3 4 2 4 2" xfId="5060" xr:uid="{00000000-0005-0000-0000-0000BE090000}"/>
    <cellStyle name="Comma 25 3 4 2 4 2 2" xfId="10374" xr:uid="{00000000-0005-0000-0000-0000BF090000}"/>
    <cellStyle name="Comma 25 3 4 2 4 3" xfId="7716" xr:uid="{00000000-0005-0000-0000-0000C0090000}"/>
    <cellStyle name="Comma 25 3 4 2 5" xfId="2632" xr:uid="{00000000-0005-0000-0000-0000C1090000}"/>
    <cellStyle name="Comma 25 3 4 2 5 2" xfId="5937" xr:uid="{00000000-0005-0000-0000-0000C2090000}"/>
    <cellStyle name="Comma 25 3 4 2 5 2 2" xfId="11251" xr:uid="{00000000-0005-0000-0000-0000C3090000}"/>
    <cellStyle name="Comma 25 3 4 2 5 3" xfId="8593" xr:uid="{00000000-0005-0000-0000-0000C4090000}"/>
    <cellStyle name="Comma 25 3 4 2 6" xfId="3802" xr:uid="{00000000-0005-0000-0000-0000C5090000}"/>
    <cellStyle name="Comma 25 3 4 2 6 2" xfId="9497" xr:uid="{00000000-0005-0000-0000-0000C6090000}"/>
    <cellStyle name="Comma 25 3 4 2 7" xfId="6839" xr:uid="{00000000-0005-0000-0000-0000C7090000}"/>
    <cellStyle name="Comma 25 3 4 3" xfId="581" xr:uid="{00000000-0005-0000-0000-0000C8090000}"/>
    <cellStyle name="Comma 25 3 4 3 2" xfId="1268" xr:uid="{00000000-0005-0000-0000-0000C9090000}"/>
    <cellStyle name="Comma 25 3 4 3 2 2" xfId="2260" xr:uid="{00000000-0005-0000-0000-0000CA090000}"/>
    <cellStyle name="Comma 25 3 4 3 2 2 2" xfId="5607" xr:uid="{00000000-0005-0000-0000-0000CB090000}"/>
    <cellStyle name="Comma 25 3 4 3 2 2 2 2" xfId="10921" xr:uid="{00000000-0005-0000-0000-0000CC090000}"/>
    <cellStyle name="Comma 25 3 4 3 2 2 3" xfId="8263" xr:uid="{00000000-0005-0000-0000-0000CD090000}"/>
    <cellStyle name="Comma 25 3 4 3 2 3" xfId="3181" xr:uid="{00000000-0005-0000-0000-0000CE090000}"/>
    <cellStyle name="Comma 25 3 4 3 2 3 2" xfId="6484" xr:uid="{00000000-0005-0000-0000-0000CF090000}"/>
    <cellStyle name="Comma 25 3 4 3 2 3 2 2" xfId="11798" xr:uid="{00000000-0005-0000-0000-0000D0090000}"/>
    <cellStyle name="Comma 25 3 4 3 2 3 3" xfId="9140" xr:uid="{00000000-0005-0000-0000-0000D1090000}"/>
    <cellStyle name="Comma 25 3 4 3 2 4" xfId="4660" xr:uid="{00000000-0005-0000-0000-0000D2090000}"/>
    <cellStyle name="Comma 25 3 4 3 2 4 2" xfId="10044" xr:uid="{00000000-0005-0000-0000-0000D3090000}"/>
    <cellStyle name="Comma 25 3 4 3 2 5" xfId="7386" xr:uid="{00000000-0005-0000-0000-0000D4090000}"/>
    <cellStyle name="Comma 25 3 4 3 3" xfId="1822" xr:uid="{00000000-0005-0000-0000-0000D5090000}"/>
    <cellStyle name="Comma 25 3 4 3 3 2" xfId="5171" xr:uid="{00000000-0005-0000-0000-0000D6090000}"/>
    <cellStyle name="Comma 25 3 4 3 3 2 2" xfId="10485" xr:uid="{00000000-0005-0000-0000-0000D7090000}"/>
    <cellStyle name="Comma 25 3 4 3 3 3" xfId="7827" xr:uid="{00000000-0005-0000-0000-0000D8090000}"/>
    <cellStyle name="Comma 25 3 4 3 4" xfId="2743" xr:uid="{00000000-0005-0000-0000-0000D9090000}"/>
    <cellStyle name="Comma 25 3 4 3 4 2" xfId="6048" xr:uid="{00000000-0005-0000-0000-0000DA090000}"/>
    <cellStyle name="Comma 25 3 4 3 4 2 2" xfId="11362" xr:uid="{00000000-0005-0000-0000-0000DB090000}"/>
    <cellStyle name="Comma 25 3 4 3 4 3" xfId="8704" xr:uid="{00000000-0005-0000-0000-0000DC090000}"/>
    <cellStyle name="Comma 25 3 4 3 5" xfId="3975" xr:uid="{00000000-0005-0000-0000-0000DD090000}"/>
    <cellStyle name="Comma 25 3 4 3 5 2" xfId="9608" xr:uid="{00000000-0005-0000-0000-0000DE090000}"/>
    <cellStyle name="Comma 25 3 4 3 6" xfId="6950" xr:uid="{00000000-0005-0000-0000-0000DF090000}"/>
    <cellStyle name="Comma 25 3 4 4" xfId="946" xr:uid="{00000000-0005-0000-0000-0000E0090000}"/>
    <cellStyle name="Comma 25 3 4 4 2" xfId="2060" xr:uid="{00000000-0005-0000-0000-0000E1090000}"/>
    <cellStyle name="Comma 25 3 4 4 2 2" xfId="5407" xr:uid="{00000000-0005-0000-0000-0000E2090000}"/>
    <cellStyle name="Comma 25 3 4 4 2 2 2" xfId="10721" xr:uid="{00000000-0005-0000-0000-0000E3090000}"/>
    <cellStyle name="Comma 25 3 4 4 2 3" xfId="8063" xr:uid="{00000000-0005-0000-0000-0000E4090000}"/>
    <cellStyle name="Comma 25 3 4 4 3" xfId="2981" xr:uid="{00000000-0005-0000-0000-0000E5090000}"/>
    <cellStyle name="Comma 25 3 4 4 3 2" xfId="6284" xr:uid="{00000000-0005-0000-0000-0000E6090000}"/>
    <cellStyle name="Comma 25 3 4 4 3 2 2" xfId="11598" xr:uid="{00000000-0005-0000-0000-0000E7090000}"/>
    <cellStyle name="Comma 25 3 4 4 3 3" xfId="8940" xr:uid="{00000000-0005-0000-0000-0000E8090000}"/>
    <cellStyle name="Comma 25 3 4 4 4" xfId="4338" xr:uid="{00000000-0005-0000-0000-0000E9090000}"/>
    <cellStyle name="Comma 25 3 4 4 4 2" xfId="9844" xr:uid="{00000000-0005-0000-0000-0000EA090000}"/>
    <cellStyle name="Comma 25 3 4 4 5" xfId="7186" xr:uid="{00000000-0005-0000-0000-0000EB090000}"/>
    <cellStyle name="Comma 25 3 4 5" xfId="1621" xr:uid="{00000000-0005-0000-0000-0000EC090000}"/>
    <cellStyle name="Comma 25 3 4 5 2" xfId="4971" xr:uid="{00000000-0005-0000-0000-0000ED090000}"/>
    <cellStyle name="Comma 25 3 4 5 2 2" xfId="10285" xr:uid="{00000000-0005-0000-0000-0000EE090000}"/>
    <cellStyle name="Comma 25 3 4 5 3" xfId="7627" xr:uid="{00000000-0005-0000-0000-0000EF090000}"/>
    <cellStyle name="Comma 25 3 4 6" xfId="2542" xr:uid="{00000000-0005-0000-0000-0000F0090000}"/>
    <cellStyle name="Comma 25 3 4 6 2" xfId="5848" xr:uid="{00000000-0005-0000-0000-0000F1090000}"/>
    <cellStyle name="Comma 25 3 4 6 2 2" xfId="11162" xr:uid="{00000000-0005-0000-0000-0000F2090000}"/>
    <cellStyle name="Comma 25 3 4 6 3" xfId="8504" xr:uid="{00000000-0005-0000-0000-0000F3090000}"/>
    <cellStyle name="Comma 25 3 4 7" xfId="3653" xr:uid="{00000000-0005-0000-0000-0000F4090000}"/>
    <cellStyle name="Comma 25 3 4 7 2" xfId="9408" xr:uid="{00000000-0005-0000-0000-0000F5090000}"/>
    <cellStyle name="Comma 25 3 4 8" xfId="6745" xr:uid="{00000000-0005-0000-0000-0000F6090000}"/>
    <cellStyle name="Comma 25 3 5" xfId="316" xr:uid="{00000000-0005-0000-0000-0000F7090000}"/>
    <cellStyle name="Comma 25 3 5 2" xfId="830" xr:uid="{00000000-0005-0000-0000-0000F8090000}"/>
    <cellStyle name="Comma 25 3 5 2 2" xfId="1515" xr:uid="{00000000-0005-0000-0000-0000F9090000}"/>
    <cellStyle name="Comma 25 3 5 2 2 2" xfId="2437" xr:uid="{00000000-0005-0000-0000-0000FA090000}"/>
    <cellStyle name="Comma 25 3 5 2 2 2 2" xfId="5784" xr:uid="{00000000-0005-0000-0000-0000FB090000}"/>
    <cellStyle name="Comma 25 3 5 2 2 2 2 2" xfId="11098" xr:uid="{00000000-0005-0000-0000-0000FC090000}"/>
    <cellStyle name="Comma 25 3 5 2 2 2 3" xfId="8440" xr:uid="{00000000-0005-0000-0000-0000FD090000}"/>
    <cellStyle name="Comma 25 3 5 2 2 3" xfId="3358" xr:uid="{00000000-0005-0000-0000-0000FE090000}"/>
    <cellStyle name="Comma 25 3 5 2 2 3 2" xfId="6661" xr:uid="{00000000-0005-0000-0000-0000FF090000}"/>
    <cellStyle name="Comma 25 3 5 2 2 3 2 2" xfId="11975" xr:uid="{00000000-0005-0000-0000-0000000A0000}"/>
    <cellStyle name="Comma 25 3 5 2 2 3 3" xfId="9317" xr:uid="{00000000-0005-0000-0000-0000010A0000}"/>
    <cellStyle name="Comma 25 3 5 2 2 4" xfId="4907" xr:uid="{00000000-0005-0000-0000-0000020A0000}"/>
    <cellStyle name="Comma 25 3 5 2 2 4 2" xfId="10221" xr:uid="{00000000-0005-0000-0000-0000030A0000}"/>
    <cellStyle name="Comma 25 3 5 2 2 5" xfId="7563" xr:uid="{00000000-0005-0000-0000-0000040A0000}"/>
    <cellStyle name="Comma 25 3 5 2 3" xfId="2001" xr:uid="{00000000-0005-0000-0000-0000050A0000}"/>
    <cellStyle name="Comma 25 3 5 2 3 2" xfId="5348" xr:uid="{00000000-0005-0000-0000-0000060A0000}"/>
    <cellStyle name="Comma 25 3 5 2 3 2 2" xfId="10662" xr:uid="{00000000-0005-0000-0000-0000070A0000}"/>
    <cellStyle name="Comma 25 3 5 2 3 3" xfId="8004" xr:uid="{00000000-0005-0000-0000-0000080A0000}"/>
    <cellStyle name="Comma 25 3 5 2 4" xfId="2922" xr:uid="{00000000-0005-0000-0000-0000090A0000}"/>
    <cellStyle name="Comma 25 3 5 2 4 2" xfId="6225" xr:uid="{00000000-0005-0000-0000-00000A0A0000}"/>
    <cellStyle name="Comma 25 3 5 2 4 2 2" xfId="11539" xr:uid="{00000000-0005-0000-0000-00000B0A0000}"/>
    <cellStyle name="Comma 25 3 5 2 4 3" xfId="8881" xr:uid="{00000000-0005-0000-0000-00000C0A0000}"/>
    <cellStyle name="Comma 25 3 5 2 5" xfId="4222" xr:uid="{00000000-0005-0000-0000-00000D0A0000}"/>
    <cellStyle name="Comma 25 3 5 2 5 2" xfId="9785" xr:uid="{00000000-0005-0000-0000-00000E0A0000}"/>
    <cellStyle name="Comma 25 3 5 2 6" xfId="7127" xr:uid="{00000000-0005-0000-0000-00000F0A0000}"/>
    <cellStyle name="Comma 25 3 5 3" xfId="639" xr:uid="{00000000-0005-0000-0000-0000100A0000}"/>
    <cellStyle name="Comma 25 3 5 3 2" xfId="1326" xr:uid="{00000000-0005-0000-0000-0000110A0000}"/>
    <cellStyle name="Comma 25 3 5 3 2 2" xfId="2316" xr:uid="{00000000-0005-0000-0000-0000120A0000}"/>
    <cellStyle name="Comma 25 3 5 3 2 2 2" xfId="5663" xr:uid="{00000000-0005-0000-0000-0000130A0000}"/>
    <cellStyle name="Comma 25 3 5 3 2 2 2 2" xfId="10977" xr:uid="{00000000-0005-0000-0000-0000140A0000}"/>
    <cellStyle name="Comma 25 3 5 3 2 2 3" xfId="8319" xr:uid="{00000000-0005-0000-0000-0000150A0000}"/>
    <cellStyle name="Comma 25 3 5 3 2 3" xfId="3237" xr:uid="{00000000-0005-0000-0000-0000160A0000}"/>
    <cellStyle name="Comma 25 3 5 3 2 3 2" xfId="6540" xr:uid="{00000000-0005-0000-0000-0000170A0000}"/>
    <cellStyle name="Comma 25 3 5 3 2 3 2 2" xfId="11854" xr:uid="{00000000-0005-0000-0000-0000180A0000}"/>
    <cellStyle name="Comma 25 3 5 3 2 3 3" xfId="9196" xr:uid="{00000000-0005-0000-0000-0000190A0000}"/>
    <cellStyle name="Comma 25 3 5 3 2 4" xfId="4718" xr:uid="{00000000-0005-0000-0000-00001A0A0000}"/>
    <cellStyle name="Comma 25 3 5 3 2 4 2" xfId="10100" xr:uid="{00000000-0005-0000-0000-00001B0A0000}"/>
    <cellStyle name="Comma 25 3 5 3 2 5" xfId="7442" xr:uid="{00000000-0005-0000-0000-00001C0A0000}"/>
    <cellStyle name="Comma 25 3 5 3 3" xfId="1878" xr:uid="{00000000-0005-0000-0000-00001D0A0000}"/>
    <cellStyle name="Comma 25 3 5 3 3 2" xfId="5227" xr:uid="{00000000-0005-0000-0000-00001E0A0000}"/>
    <cellStyle name="Comma 25 3 5 3 3 2 2" xfId="10541" xr:uid="{00000000-0005-0000-0000-00001F0A0000}"/>
    <cellStyle name="Comma 25 3 5 3 3 3" xfId="7883" xr:uid="{00000000-0005-0000-0000-0000200A0000}"/>
    <cellStyle name="Comma 25 3 5 3 4" xfId="2799" xr:uid="{00000000-0005-0000-0000-0000210A0000}"/>
    <cellStyle name="Comma 25 3 5 3 4 2" xfId="6104" xr:uid="{00000000-0005-0000-0000-0000220A0000}"/>
    <cellStyle name="Comma 25 3 5 3 4 2 2" xfId="11418" xr:uid="{00000000-0005-0000-0000-0000230A0000}"/>
    <cellStyle name="Comma 25 3 5 3 4 3" xfId="8760" xr:uid="{00000000-0005-0000-0000-0000240A0000}"/>
    <cellStyle name="Comma 25 3 5 3 5" xfId="4033" xr:uid="{00000000-0005-0000-0000-0000250A0000}"/>
    <cellStyle name="Comma 25 3 5 3 5 2" xfId="9664" xr:uid="{00000000-0005-0000-0000-0000260A0000}"/>
    <cellStyle name="Comma 25 3 5 3 6" xfId="7006" xr:uid="{00000000-0005-0000-0000-0000270A0000}"/>
    <cellStyle name="Comma 25 3 5 4" xfId="1004" xr:uid="{00000000-0005-0000-0000-0000280A0000}"/>
    <cellStyle name="Comma 25 3 5 4 2" xfId="2116" xr:uid="{00000000-0005-0000-0000-0000290A0000}"/>
    <cellStyle name="Comma 25 3 5 4 2 2" xfId="5463" xr:uid="{00000000-0005-0000-0000-00002A0A0000}"/>
    <cellStyle name="Comma 25 3 5 4 2 2 2" xfId="10777" xr:uid="{00000000-0005-0000-0000-00002B0A0000}"/>
    <cellStyle name="Comma 25 3 5 4 2 3" xfId="8119" xr:uid="{00000000-0005-0000-0000-00002C0A0000}"/>
    <cellStyle name="Comma 25 3 5 4 3" xfId="3037" xr:uid="{00000000-0005-0000-0000-00002D0A0000}"/>
    <cellStyle name="Comma 25 3 5 4 3 2" xfId="6340" xr:uid="{00000000-0005-0000-0000-00002E0A0000}"/>
    <cellStyle name="Comma 25 3 5 4 3 2 2" xfId="11654" xr:uid="{00000000-0005-0000-0000-00002F0A0000}"/>
    <cellStyle name="Comma 25 3 5 4 3 3" xfId="8996" xr:uid="{00000000-0005-0000-0000-0000300A0000}"/>
    <cellStyle name="Comma 25 3 5 4 4" xfId="4396" xr:uid="{00000000-0005-0000-0000-0000310A0000}"/>
    <cellStyle name="Comma 25 3 5 4 4 2" xfId="9900" xr:uid="{00000000-0005-0000-0000-0000320A0000}"/>
    <cellStyle name="Comma 25 3 5 4 5" xfId="7242" xr:uid="{00000000-0005-0000-0000-0000330A0000}"/>
    <cellStyle name="Comma 25 3 5 5" xfId="1678" xr:uid="{00000000-0005-0000-0000-0000340A0000}"/>
    <cellStyle name="Comma 25 3 5 5 2" xfId="5027" xr:uid="{00000000-0005-0000-0000-0000350A0000}"/>
    <cellStyle name="Comma 25 3 5 5 2 2" xfId="10341" xr:uid="{00000000-0005-0000-0000-0000360A0000}"/>
    <cellStyle name="Comma 25 3 5 5 3" xfId="7683" xr:uid="{00000000-0005-0000-0000-0000370A0000}"/>
    <cellStyle name="Comma 25 3 5 6" xfId="2599" xr:uid="{00000000-0005-0000-0000-0000380A0000}"/>
    <cellStyle name="Comma 25 3 5 6 2" xfId="5904" xr:uid="{00000000-0005-0000-0000-0000390A0000}"/>
    <cellStyle name="Comma 25 3 5 6 2 2" xfId="11218" xr:uid="{00000000-0005-0000-0000-00003A0A0000}"/>
    <cellStyle name="Comma 25 3 5 6 3" xfId="8560" xr:uid="{00000000-0005-0000-0000-00003B0A0000}"/>
    <cellStyle name="Comma 25 3 5 7" xfId="3711" xr:uid="{00000000-0005-0000-0000-00003C0A0000}"/>
    <cellStyle name="Comma 25 3 5 7 2" xfId="9464" xr:uid="{00000000-0005-0000-0000-00003D0A0000}"/>
    <cellStyle name="Comma 25 3 5 8" xfId="6806" xr:uid="{00000000-0005-0000-0000-00003E0A0000}"/>
    <cellStyle name="Comma 25 3 6" xfId="491" xr:uid="{00000000-0005-0000-0000-00003F0A0000}"/>
    <cellStyle name="Comma 25 3 6 2" xfId="1178" xr:uid="{00000000-0005-0000-0000-0000400A0000}"/>
    <cellStyle name="Comma 25 3 6 2 2" xfId="2227" xr:uid="{00000000-0005-0000-0000-0000410A0000}"/>
    <cellStyle name="Comma 25 3 6 2 2 2" xfId="5574" xr:uid="{00000000-0005-0000-0000-0000420A0000}"/>
    <cellStyle name="Comma 25 3 6 2 2 2 2" xfId="10888" xr:uid="{00000000-0005-0000-0000-0000430A0000}"/>
    <cellStyle name="Comma 25 3 6 2 2 3" xfId="8230" xr:uid="{00000000-0005-0000-0000-0000440A0000}"/>
    <cellStyle name="Comma 25 3 6 2 3" xfId="3148" xr:uid="{00000000-0005-0000-0000-0000450A0000}"/>
    <cellStyle name="Comma 25 3 6 2 3 2" xfId="6451" xr:uid="{00000000-0005-0000-0000-0000460A0000}"/>
    <cellStyle name="Comma 25 3 6 2 3 2 2" xfId="11765" xr:uid="{00000000-0005-0000-0000-0000470A0000}"/>
    <cellStyle name="Comma 25 3 6 2 3 3" xfId="9107" xr:uid="{00000000-0005-0000-0000-0000480A0000}"/>
    <cellStyle name="Comma 25 3 6 2 4" xfId="4570" xr:uid="{00000000-0005-0000-0000-0000490A0000}"/>
    <cellStyle name="Comma 25 3 6 2 4 2" xfId="10011" xr:uid="{00000000-0005-0000-0000-00004A0A0000}"/>
    <cellStyle name="Comma 25 3 6 2 5" xfId="7353" xr:uid="{00000000-0005-0000-0000-00004B0A0000}"/>
    <cellStyle name="Comma 25 3 6 3" xfId="1789" xr:uid="{00000000-0005-0000-0000-00004C0A0000}"/>
    <cellStyle name="Comma 25 3 6 3 2" xfId="5138" xr:uid="{00000000-0005-0000-0000-00004D0A0000}"/>
    <cellStyle name="Comma 25 3 6 3 2 2" xfId="10452" xr:uid="{00000000-0005-0000-0000-00004E0A0000}"/>
    <cellStyle name="Comma 25 3 6 3 3" xfId="7794" xr:uid="{00000000-0005-0000-0000-00004F0A0000}"/>
    <cellStyle name="Comma 25 3 6 4" xfId="2710" xr:uid="{00000000-0005-0000-0000-0000500A0000}"/>
    <cellStyle name="Comma 25 3 6 4 2" xfId="6015" xr:uid="{00000000-0005-0000-0000-0000510A0000}"/>
    <cellStyle name="Comma 25 3 6 4 2 2" xfId="11329" xr:uid="{00000000-0005-0000-0000-0000520A0000}"/>
    <cellStyle name="Comma 25 3 6 4 3" xfId="8671" xr:uid="{00000000-0005-0000-0000-0000530A0000}"/>
    <cellStyle name="Comma 25 3 6 5" xfId="3885" xr:uid="{00000000-0005-0000-0000-0000540A0000}"/>
    <cellStyle name="Comma 25 3 6 5 2" xfId="9575" xr:uid="{00000000-0005-0000-0000-0000550A0000}"/>
    <cellStyle name="Comma 25 3 6 6" xfId="6917" xr:uid="{00000000-0005-0000-0000-0000560A0000}"/>
    <cellStyle name="Comma 25 3 7" xfId="856" xr:uid="{00000000-0005-0000-0000-0000570A0000}"/>
    <cellStyle name="Comma 25 3 7 2" xfId="2027" xr:uid="{00000000-0005-0000-0000-0000580A0000}"/>
    <cellStyle name="Comma 25 3 7 2 2" xfId="5374" xr:uid="{00000000-0005-0000-0000-0000590A0000}"/>
    <cellStyle name="Comma 25 3 7 2 2 2" xfId="10688" xr:uid="{00000000-0005-0000-0000-00005A0A0000}"/>
    <cellStyle name="Comma 25 3 7 2 3" xfId="8030" xr:uid="{00000000-0005-0000-0000-00005B0A0000}"/>
    <cellStyle name="Comma 25 3 7 3" xfId="2948" xr:uid="{00000000-0005-0000-0000-00005C0A0000}"/>
    <cellStyle name="Comma 25 3 7 3 2" xfId="6251" xr:uid="{00000000-0005-0000-0000-00005D0A0000}"/>
    <cellStyle name="Comma 25 3 7 3 2 2" xfId="11565" xr:uid="{00000000-0005-0000-0000-00005E0A0000}"/>
    <cellStyle name="Comma 25 3 7 3 3" xfId="8907" xr:uid="{00000000-0005-0000-0000-00005F0A0000}"/>
    <cellStyle name="Comma 25 3 7 4" xfId="4248" xr:uid="{00000000-0005-0000-0000-0000600A0000}"/>
    <cellStyle name="Comma 25 3 7 4 2" xfId="9811" xr:uid="{00000000-0005-0000-0000-0000610A0000}"/>
    <cellStyle name="Comma 25 3 7 5" xfId="7153" xr:uid="{00000000-0005-0000-0000-0000620A0000}"/>
    <cellStyle name="Comma 25 3 8" xfId="1551" xr:uid="{00000000-0005-0000-0000-0000630A0000}"/>
    <cellStyle name="Comma 25 3 8 2" xfId="4938" xr:uid="{00000000-0005-0000-0000-0000640A0000}"/>
    <cellStyle name="Comma 25 3 8 2 2" xfId="10252" xr:uid="{00000000-0005-0000-0000-0000650A0000}"/>
    <cellStyle name="Comma 25 3 8 3" xfId="7594" xr:uid="{00000000-0005-0000-0000-0000660A0000}"/>
    <cellStyle name="Comma 25 3 9" xfId="2473" xr:uid="{00000000-0005-0000-0000-0000670A0000}"/>
    <cellStyle name="Comma 25 3 9 2" xfId="5815" xr:uid="{00000000-0005-0000-0000-0000680A0000}"/>
    <cellStyle name="Comma 25 3 9 2 2" xfId="11129" xr:uid="{00000000-0005-0000-0000-0000690A0000}"/>
    <cellStyle name="Comma 25 3 9 3" xfId="8471" xr:uid="{00000000-0005-0000-0000-00006A0A0000}"/>
    <cellStyle name="Comma 25 4" xfId="204" xr:uid="{00000000-0005-0000-0000-00006B0A0000}"/>
    <cellStyle name="Comma 25 4 2" xfId="399" xr:uid="{00000000-0005-0000-0000-00006C0A0000}"/>
    <cellStyle name="Comma 25 4 2 2" xfId="722" xr:uid="{00000000-0005-0000-0000-00006D0A0000}"/>
    <cellStyle name="Comma 25 4 2 2 2" xfId="1409" xr:uid="{00000000-0005-0000-0000-00006E0A0000}"/>
    <cellStyle name="Comma 25 4 2 2 2 2" xfId="2341" xr:uid="{00000000-0005-0000-0000-00006F0A0000}"/>
    <cellStyle name="Comma 25 4 2 2 2 2 2" xfId="5688" xr:uid="{00000000-0005-0000-0000-0000700A0000}"/>
    <cellStyle name="Comma 25 4 2 2 2 2 2 2" xfId="11002" xr:uid="{00000000-0005-0000-0000-0000710A0000}"/>
    <cellStyle name="Comma 25 4 2 2 2 2 3" xfId="8344" xr:uid="{00000000-0005-0000-0000-0000720A0000}"/>
    <cellStyle name="Comma 25 4 2 2 2 3" xfId="3262" xr:uid="{00000000-0005-0000-0000-0000730A0000}"/>
    <cellStyle name="Comma 25 4 2 2 2 3 2" xfId="6565" xr:uid="{00000000-0005-0000-0000-0000740A0000}"/>
    <cellStyle name="Comma 25 4 2 2 2 3 2 2" xfId="11879" xr:uid="{00000000-0005-0000-0000-0000750A0000}"/>
    <cellStyle name="Comma 25 4 2 2 2 3 3" xfId="9221" xr:uid="{00000000-0005-0000-0000-0000760A0000}"/>
    <cellStyle name="Comma 25 4 2 2 2 4" xfId="4801" xr:uid="{00000000-0005-0000-0000-0000770A0000}"/>
    <cellStyle name="Comma 25 4 2 2 2 4 2" xfId="10125" xr:uid="{00000000-0005-0000-0000-0000780A0000}"/>
    <cellStyle name="Comma 25 4 2 2 2 5" xfId="7467" xr:uid="{00000000-0005-0000-0000-0000790A0000}"/>
    <cellStyle name="Comma 25 4 2 2 3" xfId="1903" xr:uid="{00000000-0005-0000-0000-00007A0A0000}"/>
    <cellStyle name="Comma 25 4 2 2 3 2" xfId="5252" xr:uid="{00000000-0005-0000-0000-00007B0A0000}"/>
    <cellStyle name="Comma 25 4 2 2 3 2 2" xfId="10566" xr:uid="{00000000-0005-0000-0000-00007C0A0000}"/>
    <cellStyle name="Comma 25 4 2 2 3 3" xfId="7908" xr:uid="{00000000-0005-0000-0000-00007D0A0000}"/>
    <cellStyle name="Comma 25 4 2 2 4" xfId="2824" xr:uid="{00000000-0005-0000-0000-00007E0A0000}"/>
    <cellStyle name="Comma 25 4 2 2 4 2" xfId="6129" xr:uid="{00000000-0005-0000-0000-00007F0A0000}"/>
    <cellStyle name="Comma 25 4 2 2 4 2 2" xfId="11443" xr:uid="{00000000-0005-0000-0000-0000800A0000}"/>
    <cellStyle name="Comma 25 4 2 2 4 3" xfId="8785" xr:uid="{00000000-0005-0000-0000-0000810A0000}"/>
    <cellStyle name="Comma 25 4 2 2 5" xfId="4116" xr:uid="{00000000-0005-0000-0000-0000820A0000}"/>
    <cellStyle name="Comma 25 4 2 2 5 2" xfId="9689" xr:uid="{00000000-0005-0000-0000-0000830A0000}"/>
    <cellStyle name="Comma 25 4 2 2 6" xfId="7031" xr:uid="{00000000-0005-0000-0000-0000840A0000}"/>
    <cellStyle name="Comma 25 4 2 3" xfId="1087" xr:uid="{00000000-0005-0000-0000-0000850A0000}"/>
    <cellStyle name="Comma 25 4 2 3 2" xfId="2141" xr:uid="{00000000-0005-0000-0000-0000860A0000}"/>
    <cellStyle name="Comma 25 4 2 3 2 2" xfId="5488" xr:uid="{00000000-0005-0000-0000-0000870A0000}"/>
    <cellStyle name="Comma 25 4 2 3 2 2 2" xfId="10802" xr:uid="{00000000-0005-0000-0000-0000880A0000}"/>
    <cellStyle name="Comma 25 4 2 3 2 3" xfId="8144" xr:uid="{00000000-0005-0000-0000-0000890A0000}"/>
    <cellStyle name="Comma 25 4 2 3 3" xfId="3062" xr:uid="{00000000-0005-0000-0000-00008A0A0000}"/>
    <cellStyle name="Comma 25 4 2 3 3 2" xfId="6365" xr:uid="{00000000-0005-0000-0000-00008B0A0000}"/>
    <cellStyle name="Comma 25 4 2 3 3 2 2" xfId="11679" xr:uid="{00000000-0005-0000-0000-00008C0A0000}"/>
    <cellStyle name="Comma 25 4 2 3 3 3" xfId="9021" xr:uid="{00000000-0005-0000-0000-00008D0A0000}"/>
    <cellStyle name="Comma 25 4 2 3 4" xfId="4479" xr:uid="{00000000-0005-0000-0000-00008E0A0000}"/>
    <cellStyle name="Comma 25 4 2 3 4 2" xfId="9925" xr:uid="{00000000-0005-0000-0000-00008F0A0000}"/>
    <cellStyle name="Comma 25 4 2 3 5" xfId="7267" xr:uid="{00000000-0005-0000-0000-0000900A0000}"/>
    <cellStyle name="Comma 25 4 2 4" xfId="1703" xr:uid="{00000000-0005-0000-0000-0000910A0000}"/>
    <cellStyle name="Comma 25 4 2 4 2" xfId="5052" xr:uid="{00000000-0005-0000-0000-0000920A0000}"/>
    <cellStyle name="Comma 25 4 2 4 2 2" xfId="10366" xr:uid="{00000000-0005-0000-0000-0000930A0000}"/>
    <cellStyle name="Comma 25 4 2 4 3" xfId="7708" xr:uid="{00000000-0005-0000-0000-0000940A0000}"/>
    <cellStyle name="Comma 25 4 2 5" xfId="2624" xr:uid="{00000000-0005-0000-0000-0000950A0000}"/>
    <cellStyle name="Comma 25 4 2 5 2" xfId="5929" xr:uid="{00000000-0005-0000-0000-0000960A0000}"/>
    <cellStyle name="Comma 25 4 2 5 2 2" xfId="11243" xr:uid="{00000000-0005-0000-0000-0000970A0000}"/>
    <cellStyle name="Comma 25 4 2 5 3" xfId="8585" xr:uid="{00000000-0005-0000-0000-0000980A0000}"/>
    <cellStyle name="Comma 25 4 2 6" xfId="3794" xr:uid="{00000000-0005-0000-0000-0000990A0000}"/>
    <cellStyle name="Comma 25 4 2 6 2" xfId="9489" xr:uid="{00000000-0005-0000-0000-00009A0A0000}"/>
    <cellStyle name="Comma 25 4 2 7" xfId="6831" xr:uid="{00000000-0005-0000-0000-00009B0A0000}"/>
    <cellStyle name="Comma 25 4 3" xfId="573" xr:uid="{00000000-0005-0000-0000-00009C0A0000}"/>
    <cellStyle name="Comma 25 4 3 2" xfId="1260" xr:uid="{00000000-0005-0000-0000-00009D0A0000}"/>
    <cellStyle name="Comma 25 4 3 2 2" xfId="2252" xr:uid="{00000000-0005-0000-0000-00009E0A0000}"/>
    <cellStyle name="Comma 25 4 3 2 2 2" xfId="5599" xr:uid="{00000000-0005-0000-0000-00009F0A0000}"/>
    <cellStyle name="Comma 25 4 3 2 2 2 2" xfId="10913" xr:uid="{00000000-0005-0000-0000-0000A00A0000}"/>
    <cellStyle name="Comma 25 4 3 2 2 3" xfId="8255" xr:uid="{00000000-0005-0000-0000-0000A10A0000}"/>
    <cellStyle name="Comma 25 4 3 2 3" xfId="3173" xr:uid="{00000000-0005-0000-0000-0000A20A0000}"/>
    <cellStyle name="Comma 25 4 3 2 3 2" xfId="6476" xr:uid="{00000000-0005-0000-0000-0000A30A0000}"/>
    <cellStyle name="Comma 25 4 3 2 3 2 2" xfId="11790" xr:uid="{00000000-0005-0000-0000-0000A40A0000}"/>
    <cellStyle name="Comma 25 4 3 2 3 3" xfId="9132" xr:uid="{00000000-0005-0000-0000-0000A50A0000}"/>
    <cellStyle name="Comma 25 4 3 2 4" xfId="4652" xr:uid="{00000000-0005-0000-0000-0000A60A0000}"/>
    <cellStyle name="Comma 25 4 3 2 4 2" xfId="10036" xr:uid="{00000000-0005-0000-0000-0000A70A0000}"/>
    <cellStyle name="Comma 25 4 3 2 5" xfId="7378" xr:uid="{00000000-0005-0000-0000-0000A80A0000}"/>
    <cellStyle name="Comma 25 4 3 3" xfId="1814" xr:uid="{00000000-0005-0000-0000-0000A90A0000}"/>
    <cellStyle name="Comma 25 4 3 3 2" xfId="5163" xr:uid="{00000000-0005-0000-0000-0000AA0A0000}"/>
    <cellStyle name="Comma 25 4 3 3 2 2" xfId="10477" xr:uid="{00000000-0005-0000-0000-0000AB0A0000}"/>
    <cellStyle name="Comma 25 4 3 3 3" xfId="7819" xr:uid="{00000000-0005-0000-0000-0000AC0A0000}"/>
    <cellStyle name="Comma 25 4 3 4" xfId="2735" xr:uid="{00000000-0005-0000-0000-0000AD0A0000}"/>
    <cellStyle name="Comma 25 4 3 4 2" xfId="6040" xr:uid="{00000000-0005-0000-0000-0000AE0A0000}"/>
    <cellStyle name="Comma 25 4 3 4 2 2" xfId="11354" xr:uid="{00000000-0005-0000-0000-0000AF0A0000}"/>
    <cellStyle name="Comma 25 4 3 4 3" xfId="8696" xr:uid="{00000000-0005-0000-0000-0000B00A0000}"/>
    <cellStyle name="Comma 25 4 3 5" xfId="3967" xr:uid="{00000000-0005-0000-0000-0000B10A0000}"/>
    <cellStyle name="Comma 25 4 3 5 2" xfId="9600" xr:uid="{00000000-0005-0000-0000-0000B20A0000}"/>
    <cellStyle name="Comma 25 4 3 6" xfId="6942" xr:uid="{00000000-0005-0000-0000-0000B30A0000}"/>
    <cellStyle name="Comma 25 4 4" xfId="938" xr:uid="{00000000-0005-0000-0000-0000B40A0000}"/>
    <cellStyle name="Comma 25 4 4 2" xfId="2052" xr:uid="{00000000-0005-0000-0000-0000B50A0000}"/>
    <cellStyle name="Comma 25 4 4 2 2" xfId="5399" xr:uid="{00000000-0005-0000-0000-0000B60A0000}"/>
    <cellStyle name="Comma 25 4 4 2 2 2" xfId="10713" xr:uid="{00000000-0005-0000-0000-0000B70A0000}"/>
    <cellStyle name="Comma 25 4 4 2 3" xfId="8055" xr:uid="{00000000-0005-0000-0000-0000B80A0000}"/>
    <cellStyle name="Comma 25 4 4 3" xfId="2973" xr:uid="{00000000-0005-0000-0000-0000B90A0000}"/>
    <cellStyle name="Comma 25 4 4 3 2" xfId="6276" xr:uid="{00000000-0005-0000-0000-0000BA0A0000}"/>
    <cellStyle name="Comma 25 4 4 3 2 2" xfId="11590" xr:uid="{00000000-0005-0000-0000-0000BB0A0000}"/>
    <cellStyle name="Comma 25 4 4 3 3" xfId="8932" xr:uid="{00000000-0005-0000-0000-0000BC0A0000}"/>
    <cellStyle name="Comma 25 4 4 4" xfId="4330" xr:uid="{00000000-0005-0000-0000-0000BD0A0000}"/>
    <cellStyle name="Comma 25 4 4 4 2" xfId="9836" xr:uid="{00000000-0005-0000-0000-0000BE0A0000}"/>
    <cellStyle name="Comma 25 4 4 5" xfId="7178" xr:uid="{00000000-0005-0000-0000-0000BF0A0000}"/>
    <cellStyle name="Comma 25 4 5" xfId="1613" xr:uid="{00000000-0005-0000-0000-0000C00A0000}"/>
    <cellStyle name="Comma 25 4 5 2" xfId="4963" xr:uid="{00000000-0005-0000-0000-0000C10A0000}"/>
    <cellStyle name="Comma 25 4 5 2 2" xfId="10277" xr:uid="{00000000-0005-0000-0000-0000C20A0000}"/>
    <cellStyle name="Comma 25 4 5 3" xfId="7619" xr:uid="{00000000-0005-0000-0000-0000C30A0000}"/>
    <cellStyle name="Comma 25 4 6" xfId="2534" xr:uid="{00000000-0005-0000-0000-0000C40A0000}"/>
    <cellStyle name="Comma 25 4 6 2" xfId="5840" xr:uid="{00000000-0005-0000-0000-0000C50A0000}"/>
    <cellStyle name="Comma 25 4 6 2 2" xfId="11154" xr:uid="{00000000-0005-0000-0000-0000C60A0000}"/>
    <cellStyle name="Comma 25 4 6 3" xfId="8496" xr:uid="{00000000-0005-0000-0000-0000C70A0000}"/>
    <cellStyle name="Comma 25 4 7" xfId="3645" xr:uid="{00000000-0005-0000-0000-0000C80A0000}"/>
    <cellStyle name="Comma 25 4 7 2" xfId="9400" xr:uid="{00000000-0005-0000-0000-0000C90A0000}"/>
    <cellStyle name="Comma 25 4 8" xfId="6737" xr:uid="{00000000-0005-0000-0000-0000CA0A0000}"/>
    <cellStyle name="Comma 25 5" xfId="309" xr:uid="{00000000-0005-0000-0000-0000CB0A0000}"/>
    <cellStyle name="Comma 25 5 2" xfId="632" xr:uid="{00000000-0005-0000-0000-0000CC0A0000}"/>
    <cellStyle name="Comma 25 5 2 2" xfId="1319" xr:uid="{00000000-0005-0000-0000-0000CD0A0000}"/>
    <cellStyle name="Comma 25 5 2 2 2" xfId="2309" xr:uid="{00000000-0005-0000-0000-0000CE0A0000}"/>
    <cellStyle name="Comma 25 5 2 2 2 2" xfId="5656" xr:uid="{00000000-0005-0000-0000-0000CF0A0000}"/>
    <cellStyle name="Comma 25 5 2 2 2 2 2" xfId="10970" xr:uid="{00000000-0005-0000-0000-0000D00A0000}"/>
    <cellStyle name="Comma 25 5 2 2 2 3" xfId="8312" xr:uid="{00000000-0005-0000-0000-0000D10A0000}"/>
    <cellStyle name="Comma 25 5 2 2 3" xfId="3230" xr:uid="{00000000-0005-0000-0000-0000D20A0000}"/>
    <cellStyle name="Comma 25 5 2 2 3 2" xfId="6533" xr:uid="{00000000-0005-0000-0000-0000D30A0000}"/>
    <cellStyle name="Comma 25 5 2 2 3 2 2" xfId="11847" xr:uid="{00000000-0005-0000-0000-0000D40A0000}"/>
    <cellStyle name="Comma 25 5 2 2 3 3" xfId="9189" xr:uid="{00000000-0005-0000-0000-0000D50A0000}"/>
    <cellStyle name="Comma 25 5 2 2 4" xfId="4711" xr:uid="{00000000-0005-0000-0000-0000D60A0000}"/>
    <cellStyle name="Comma 25 5 2 2 4 2" xfId="10093" xr:uid="{00000000-0005-0000-0000-0000D70A0000}"/>
    <cellStyle name="Comma 25 5 2 2 5" xfId="7435" xr:uid="{00000000-0005-0000-0000-0000D80A0000}"/>
    <cellStyle name="Comma 25 5 2 3" xfId="1871" xr:uid="{00000000-0005-0000-0000-0000D90A0000}"/>
    <cellStyle name="Comma 25 5 2 3 2" xfId="5220" xr:uid="{00000000-0005-0000-0000-0000DA0A0000}"/>
    <cellStyle name="Comma 25 5 2 3 2 2" xfId="10534" xr:uid="{00000000-0005-0000-0000-0000DB0A0000}"/>
    <cellStyle name="Comma 25 5 2 3 3" xfId="7876" xr:uid="{00000000-0005-0000-0000-0000DC0A0000}"/>
    <cellStyle name="Comma 25 5 2 4" xfId="2792" xr:uid="{00000000-0005-0000-0000-0000DD0A0000}"/>
    <cellStyle name="Comma 25 5 2 4 2" xfId="6097" xr:uid="{00000000-0005-0000-0000-0000DE0A0000}"/>
    <cellStyle name="Comma 25 5 2 4 2 2" xfId="11411" xr:uid="{00000000-0005-0000-0000-0000DF0A0000}"/>
    <cellStyle name="Comma 25 5 2 4 3" xfId="8753" xr:uid="{00000000-0005-0000-0000-0000E00A0000}"/>
    <cellStyle name="Comma 25 5 2 5" xfId="4026" xr:uid="{00000000-0005-0000-0000-0000E10A0000}"/>
    <cellStyle name="Comma 25 5 2 5 2" xfId="9657" xr:uid="{00000000-0005-0000-0000-0000E20A0000}"/>
    <cellStyle name="Comma 25 5 2 6" xfId="6999" xr:uid="{00000000-0005-0000-0000-0000E30A0000}"/>
    <cellStyle name="Comma 25 5 3" xfId="997" xr:uid="{00000000-0005-0000-0000-0000E40A0000}"/>
    <cellStyle name="Comma 25 5 3 2" xfId="2109" xr:uid="{00000000-0005-0000-0000-0000E50A0000}"/>
    <cellStyle name="Comma 25 5 3 2 2" xfId="5456" xr:uid="{00000000-0005-0000-0000-0000E60A0000}"/>
    <cellStyle name="Comma 25 5 3 2 2 2" xfId="10770" xr:uid="{00000000-0005-0000-0000-0000E70A0000}"/>
    <cellStyle name="Comma 25 5 3 2 3" xfId="8112" xr:uid="{00000000-0005-0000-0000-0000E80A0000}"/>
    <cellStyle name="Comma 25 5 3 3" xfId="3030" xr:uid="{00000000-0005-0000-0000-0000E90A0000}"/>
    <cellStyle name="Comma 25 5 3 3 2" xfId="6333" xr:uid="{00000000-0005-0000-0000-0000EA0A0000}"/>
    <cellStyle name="Comma 25 5 3 3 2 2" xfId="11647" xr:uid="{00000000-0005-0000-0000-0000EB0A0000}"/>
    <cellStyle name="Comma 25 5 3 3 3" xfId="8989" xr:uid="{00000000-0005-0000-0000-0000EC0A0000}"/>
    <cellStyle name="Comma 25 5 3 4" xfId="4389" xr:uid="{00000000-0005-0000-0000-0000ED0A0000}"/>
    <cellStyle name="Comma 25 5 3 4 2" xfId="9893" xr:uid="{00000000-0005-0000-0000-0000EE0A0000}"/>
    <cellStyle name="Comma 25 5 3 5" xfId="7235" xr:uid="{00000000-0005-0000-0000-0000EF0A0000}"/>
    <cellStyle name="Comma 25 5 4" xfId="1671" xr:uid="{00000000-0005-0000-0000-0000F00A0000}"/>
    <cellStyle name="Comma 25 5 4 2" xfId="5020" xr:uid="{00000000-0005-0000-0000-0000F10A0000}"/>
    <cellStyle name="Comma 25 5 4 2 2" xfId="10334" xr:uid="{00000000-0005-0000-0000-0000F20A0000}"/>
    <cellStyle name="Comma 25 5 4 3" xfId="7676" xr:uid="{00000000-0005-0000-0000-0000F30A0000}"/>
    <cellStyle name="Comma 25 5 5" xfId="2592" xr:uid="{00000000-0005-0000-0000-0000F40A0000}"/>
    <cellStyle name="Comma 25 5 5 2" xfId="5897" xr:uid="{00000000-0005-0000-0000-0000F50A0000}"/>
    <cellStyle name="Comma 25 5 5 2 2" xfId="11211" xr:uid="{00000000-0005-0000-0000-0000F60A0000}"/>
    <cellStyle name="Comma 25 5 5 3" xfId="8553" xr:uid="{00000000-0005-0000-0000-0000F70A0000}"/>
    <cellStyle name="Comma 25 5 6" xfId="3704" xr:uid="{00000000-0005-0000-0000-0000F80A0000}"/>
    <cellStyle name="Comma 25 5 6 2" xfId="9457" xr:uid="{00000000-0005-0000-0000-0000F90A0000}"/>
    <cellStyle name="Comma 25 5 7" xfId="6799" xr:uid="{00000000-0005-0000-0000-0000FA0A0000}"/>
    <cellStyle name="Comma 25 6" xfId="484" xr:uid="{00000000-0005-0000-0000-0000FB0A0000}"/>
    <cellStyle name="Comma 25 6 2" xfId="1171" xr:uid="{00000000-0005-0000-0000-0000FC0A0000}"/>
    <cellStyle name="Comma 25 6 2 2" xfId="2220" xr:uid="{00000000-0005-0000-0000-0000FD0A0000}"/>
    <cellStyle name="Comma 25 6 2 2 2" xfId="5567" xr:uid="{00000000-0005-0000-0000-0000FE0A0000}"/>
    <cellStyle name="Comma 25 6 2 2 2 2" xfId="10881" xr:uid="{00000000-0005-0000-0000-0000FF0A0000}"/>
    <cellStyle name="Comma 25 6 2 2 3" xfId="8223" xr:uid="{00000000-0005-0000-0000-0000000B0000}"/>
    <cellStyle name="Comma 25 6 2 3" xfId="3141" xr:uid="{00000000-0005-0000-0000-0000010B0000}"/>
    <cellStyle name="Comma 25 6 2 3 2" xfId="6444" xr:uid="{00000000-0005-0000-0000-0000020B0000}"/>
    <cellStyle name="Comma 25 6 2 3 2 2" xfId="11758" xr:uid="{00000000-0005-0000-0000-0000030B0000}"/>
    <cellStyle name="Comma 25 6 2 3 3" xfId="9100" xr:uid="{00000000-0005-0000-0000-0000040B0000}"/>
    <cellStyle name="Comma 25 6 2 4" xfId="4563" xr:uid="{00000000-0005-0000-0000-0000050B0000}"/>
    <cellStyle name="Comma 25 6 2 4 2" xfId="10004" xr:uid="{00000000-0005-0000-0000-0000060B0000}"/>
    <cellStyle name="Comma 25 6 2 5" xfId="7346" xr:uid="{00000000-0005-0000-0000-0000070B0000}"/>
    <cellStyle name="Comma 25 6 3" xfId="1782" xr:uid="{00000000-0005-0000-0000-0000080B0000}"/>
    <cellStyle name="Comma 25 6 3 2" xfId="5131" xr:uid="{00000000-0005-0000-0000-0000090B0000}"/>
    <cellStyle name="Comma 25 6 3 2 2" xfId="10445" xr:uid="{00000000-0005-0000-0000-00000A0B0000}"/>
    <cellStyle name="Comma 25 6 3 3" xfId="7787" xr:uid="{00000000-0005-0000-0000-00000B0B0000}"/>
    <cellStyle name="Comma 25 6 4" xfId="2703" xr:uid="{00000000-0005-0000-0000-00000C0B0000}"/>
    <cellStyle name="Comma 25 6 4 2" xfId="6008" xr:uid="{00000000-0005-0000-0000-00000D0B0000}"/>
    <cellStyle name="Comma 25 6 4 2 2" xfId="11322" xr:uid="{00000000-0005-0000-0000-00000E0B0000}"/>
    <cellStyle name="Comma 25 6 4 3" xfId="8664" xr:uid="{00000000-0005-0000-0000-00000F0B0000}"/>
    <cellStyle name="Comma 25 6 5" xfId="3878" xr:uid="{00000000-0005-0000-0000-0000100B0000}"/>
    <cellStyle name="Comma 25 6 5 2" xfId="9568" xr:uid="{00000000-0005-0000-0000-0000110B0000}"/>
    <cellStyle name="Comma 25 6 6" xfId="6910" xr:uid="{00000000-0005-0000-0000-0000120B0000}"/>
    <cellStyle name="Comma 25 7" xfId="849" xr:uid="{00000000-0005-0000-0000-0000130B0000}"/>
    <cellStyle name="Comma 25 7 2" xfId="2020" xr:uid="{00000000-0005-0000-0000-0000140B0000}"/>
    <cellStyle name="Comma 25 7 2 2" xfId="5367" xr:uid="{00000000-0005-0000-0000-0000150B0000}"/>
    <cellStyle name="Comma 25 7 2 2 2" xfId="10681" xr:uid="{00000000-0005-0000-0000-0000160B0000}"/>
    <cellStyle name="Comma 25 7 2 3" xfId="8023" xr:uid="{00000000-0005-0000-0000-0000170B0000}"/>
    <cellStyle name="Comma 25 7 3" xfId="2941" xr:uid="{00000000-0005-0000-0000-0000180B0000}"/>
    <cellStyle name="Comma 25 7 3 2" xfId="6244" xr:uid="{00000000-0005-0000-0000-0000190B0000}"/>
    <cellStyle name="Comma 25 7 3 2 2" xfId="11558" xr:uid="{00000000-0005-0000-0000-00001A0B0000}"/>
    <cellStyle name="Comma 25 7 3 3" xfId="8900" xr:uid="{00000000-0005-0000-0000-00001B0B0000}"/>
    <cellStyle name="Comma 25 7 4" xfId="4241" xr:uid="{00000000-0005-0000-0000-00001C0B0000}"/>
    <cellStyle name="Comma 25 7 4 2" xfId="9804" xr:uid="{00000000-0005-0000-0000-00001D0B0000}"/>
    <cellStyle name="Comma 25 7 5" xfId="7146" xr:uid="{00000000-0005-0000-0000-00001E0B0000}"/>
    <cellStyle name="Comma 25 8" xfId="1543" xr:uid="{00000000-0005-0000-0000-00001F0B0000}"/>
    <cellStyle name="Comma 25 8 2" xfId="4931" xr:uid="{00000000-0005-0000-0000-0000200B0000}"/>
    <cellStyle name="Comma 25 8 2 2" xfId="10245" xr:uid="{00000000-0005-0000-0000-0000210B0000}"/>
    <cellStyle name="Comma 25 8 3" xfId="7587" xr:uid="{00000000-0005-0000-0000-0000220B0000}"/>
    <cellStyle name="Comma 25 9" xfId="2465" xr:uid="{00000000-0005-0000-0000-0000230B0000}"/>
    <cellStyle name="Comma 25 9 2" xfId="5808" xr:uid="{00000000-0005-0000-0000-0000240B0000}"/>
    <cellStyle name="Comma 25 9 2 2" xfId="11122" xr:uid="{00000000-0005-0000-0000-0000250B0000}"/>
    <cellStyle name="Comma 25 9 3" xfId="8464" xr:uid="{00000000-0005-0000-0000-0000260B0000}"/>
    <cellStyle name="Comma 26" xfId="65" xr:uid="{00000000-0005-0000-0000-0000270B0000}"/>
    <cellStyle name="Comma 26 10" xfId="3557" xr:uid="{00000000-0005-0000-0000-0000280B0000}"/>
    <cellStyle name="Comma 26 10 2" xfId="9369" xr:uid="{00000000-0005-0000-0000-0000290B0000}"/>
    <cellStyle name="Comma 26 11" xfId="6706" xr:uid="{00000000-0005-0000-0000-00002A0B0000}"/>
    <cellStyle name="Comma 26 2" xfId="69" xr:uid="{00000000-0005-0000-0000-00002B0B0000}"/>
    <cellStyle name="Comma 26 2 10" xfId="6708" xr:uid="{00000000-0005-0000-0000-00002C0B0000}"/>
    <cellStyle name="Comma 26 2 2" xfId="115" xr:uid="{00000000-0005-0000-0000-00002D0B0000}"/>
    <cellStyle name="Comma 26 2 2 2" xfId="321" xr:uid="{00000000-0005-0000-0000-00002E0B0000}"/>
    <cellStyle name="Comma 26 2 2 2 2" xfId="644" xr:uid="{00000000-0005-0000-0000-00002F0B0000}"/>
    <cellStyle name="Comma 26 2 2 2 2 2" xfId="1331" xr:uid="{00000000-0005-0000-0000-0000300B0000}"/>
    <cellStyle name="Comma 26 2 2 2 2 2 2" xfId="2320" xr:uid="{00000000-0005-0000-0000-0000310B0000}"/>
    <cellStyle name="Comma 26 2 2 2 2 2 2 2" xfId="5667" xr:uid="{00000000-0005-0000-0000-0000320B0000}"/>
    <cellStyle name="Comma 26 2 2 2 2 2 2 2 2" xfId="10981" xr:uid="{00000000-0005-0000-0000-0000330B0000}"/>
    <cellStyle name="Comma 26 2 2 2 2 2 2 3" xfId="8323" xr:uid="{00000000-0005-0000-0000-0000340B0000}"/>
    <cellStyle name="Comma 26 2 2 2 2 2 3" xfId="3241" xr:uid="{00000000-0005-0000-0000-0000350B0000}"/>
    <cellStyle name="Comma 26 2 2 2 2 2 3 2" xfId="6544" xr:uid="{00000000-0005-0000-0000-0000360B0000}"/>
    <cellStyle name="Comma 26 2 2 2 2 2 3 2 2" xfId="11858" xr:uid="{00000000-0005-0000-0000-0000370B0000}"/>
    <cellStyle name="Comma 26 2 2 2 2 2 3 3" xfId="9200" xr:uid="{00000000-0005-0000-0000-0000380B0000}"/>
    <cellStyle name="Comma 26 2 2 2 2 2 4" xfId="4723" xr:uid="{00000000-0005-0000-0000-0000390B0000}"/>
    <cellStyle name="Comma 26 2 2 2 2 2 4 2" xfId="10104" xr:uid="{00000000-0005-0000-0000-00003A0B0000}"/>
    <cellStyle name="Comma 26 2 2 2 2 2 5" xfId="7446" xr:uid="{00000000-0005-0000-0000-00003B0B0000}"/>
    <cellStyle name="Comma 26 2 2 2 2 3" xfId="1882" xr:uid="{00000000-0005-0000-0000-00003C0B0000}"/>
    <cellStyle name="Comma 26 2 2 2 2 3 2" xfId="5231" xr:uid="{00000000-0005-0000-0000-00003D0B0000}"/>
    <cellStyle name="Comma 26 2 2 2 2 3 2 2" xfId="10545" xr:uid="{00000000-0005-0000-0000-00003E0B0000}"/>
    <cellStyle name="Comma 26 2 2 2 2 3 3" xfId="7887" xr:uid="{00000000-0005-0000-0000-00003F0B0000}"/>
    <cellStyle name="Comma 26 2 2 2 2 4" xfId="2803" xr:uid="{00000000-0005-0000-0000-0000400B0000}"/>
    <cellStyle name="Comma 26 2 2 2 2 4 2" xfId="6108" xr:uid="{00000000-0005-0000-0000-0000410B0000}"/>
    <cellStyle name="Comma 26 2 2 2 2 4 2 2" xfId="11422" xr:uid="{00000000-0005-0000-0000-0000420B0000}"/>
    <cellStyle name="Comma 26 2 2 2 2 4 3" xfId="8764" xr:uid="{00000000-0005-0000-0000-0000430B0000}"/>
    <cellStyle name="Comma 26 2 2 2 2 5" xfId="4038" xr:uid="{00000000-0005-0000-0000-0000440B0000}"/>
    <cellStyle name="Comma 26 2 2 2 2 5 2" xfId="9668" xr:uid="{00000000-0005-0000-0000-0000450B0000}"/>
    <cellStyle name="Comma 26 2 2 2 2 6" xfId="7010" xr:uid="{00000000-0005-0000-0000-0000460B0000}"/>
    <cellStyle name="Comma 26 2 2 2 3" xfId="1009" xr:uid="{00000000-0005-0000-0000-0000470B0000}"/>
    <cellStyle name="Comma 26 2 2 2 3 2" xfId="2120" xr:uid="{00000000-0005-0000-0000-0000480B0000}"/>
    <cellStyle name="Comma 26 2 2 2 3 2 2" xfId="5467" xr:uid="{00000000-0005-0000-0000-0000490B0000}"/>
    <cellStyle name="Comma 26 2 2 2 3 2 2 2" xfId="10781" xr:uid="{00000000-0005-0000-0000-00004A0B0000}"/>
    <cellStyle name="Comma 26 2 2 2 3 2 3" xfId="8123" xr:uid="{00000000-0005-0000-0000-00004B0B0000}"/>
    <cellStyle name="Comma 26 2 2 2 3 3" xfId="3041" xr:uid="{00000000-0005-0000-0000-00004C0B0000}"/>
    <cellStyle name="Comma 26 2 2 2 3 3 2" xfId="6344" xr:uid="{00000000-0005-0000-0000-00004D0B0000}"/>
    <cellStyle name="Comma 26 2 2 2 3 3 2 2" xfId="11658" xr:uid="{00000000-0005-0000-0000-00004E0B0000}"/>
    <cellStyle name="Comma 26 2 2 2 3 3 3" xfId="9000" xr:uid="{00000000-0005-0000-0000-00004F0B0000}"/>
    <cellStyle name="Comma 26 2 2 2 3 4" xfId="4401" xr:uid="{00000000-0005-0000-0000-0000500B0000}"/>
    <cellStyle name="Comma 26 2 2 2 3 4 2" xfId="9904" xr:uid="{00000000-0005-0000-0000-0000510B0000}"/>
    <cellStyle name="Comma 26 2 2 2 3 5" xfId="7246" xr:uid="{00000000-0005-0000-0000-0000520B0000}"/>
    <cellStyle name="Comma 26 2 2 2 4" xfId="1682" xr:uid="{00000000-0005-0000-0000-0000530B0000}"/>
    <cellStyle name="Comma 26 2 2 2 4 2" xfId="5031" xr:uid="{00000000-0005-0000-0000-0000540B0000}"/>
    <cellStyle name="Comma 26 2 2 2 4 2 2" xfId="10345" xr:uid="{00000000-0005-0000-0000-0000550B0000}"/>
    <cellStyle name="Comma 26 2 2 2 4 3" xfId="7687" xr:uid="{00000000-0005-0000-0000-0000560B0000}"/>
    <cellStyle name="Comma 26 2 2 2 5" xfId="2603" xr:uid="{00000000-0005-0000-0000-0000570B0000}"/>
    <cellStyle name="Comma 26 2 2 2 5 2" xfId="5908" xr:uid="{00000000-0005-0000-0000-0000580B0000}"/>
    <cellStyle name="Comma 26 2 2 2 5 2 2" xfId="11222" xr:uid="{00000000-0005-0000-0000-0000590B0000}"/>
    <cellStyle name="Comma 26 2 2 2 5 3" xfId="8564" xr:uid="{00000000-0005-0000-0000-00005A0B0000}"/>
    <cellStyle name="Comma 26 2 2 2 6" xfId="3716" xr:uid="{00000000-0005-0000-0000-00005B0B0000}"/>
    <cellStyle name="Comma 26 2 2 2 6 2" xfId="9468" xr:uid="{00000000-0005-0000-0000-00005C0B0000}"/>
    <cellStyle name="Comma 26 2 2 2 7" xfId="6810" xr:uid="{00000000-0005-0000-0000-00005D0B0000}"/>
    <cellStyle name="Comma 26 2 2 3" xfId="496" xr:uid="{00000000-0005-0000-0000-00005E0B0000}"/>
    <cellStyle name="Comma 26 2 2 3 2" xfId="1183" xr:uid="{00000000-0005-0000-0000-00005F0B0000}"/>
    <cellStyle name="Comma 26 2 2 3 2 2" xfId="2231" xr:uid="{00000000-0005-0000-0000-0000600B0000}"/>
    <cellStyle name="Comma 26 2 2 3 2 2 2" xfId="5578" xr:uid="{00000000-0005-0000-0000-0000610B0000}"/>
    <cellStyle name="Comma 26 2 2 3 2 2 2 2" xfId="10892" xr:uid="{00000000-0005-0000-0000-0000620B0000}"/>
    <cellStyle name="Comma 26 2 2 3 2 2 3" xfId="8234" xr:uid="{00000000-0005-0000-0000-0000630B0000}"/>
    <cellStyle name="Comma 26 2 2 3 2 3" xfId="3152" xr:uid="{00000000-0005-0000-0000-0000640B0000}"/>
    <cellStyle name="Comma 26 2 2 3 2 3 2" xfId="6455" xr:uid="{00000000-0005-0000-0000-0000650B0000}"/>
    <cellStyle name="Comma 26 2 2 3 2 3 2 2" xfId="11769" xr:uid="{00000000-0005-0000-0000-0000660B0000}"/>
    <cellStyle name="Comma 26 2 2 3 2 3 3" xfId="9111" xr:uid="{00000000-0005-0000-0000-0000670B0000}"/>
    <cellStyle name="Comma 26 2 2 3 2 4" xfId="4575" xr:uid="{00000000-0005-0000-0000-0000680B0000}"/>
    <cellStyle name="Comma 26 2 2 3 2 4 2" xfId="10015" xr:uid="{00000000-0005-0000-0000-0000690B0000}"/>
    <cellStyle name="Comma 26 2 2 3 2 5" xfId="7357" xr:uid="{00000000-0005-0000-0000-00006A0B0000}"/>
    <cellStyle name="Comma 26 2 2 3 3" xfId="1793" xr:uid="{00000000-0005-0000-0000-00006B0B0000}"/>
    <cellStyle name="Comma 26 2 2 3 3 2" xfId="5142" xr:uid="{00000000-0005-0000-0000-00006C0B0000}"/>
    <cellStyle name="Comma 26 2 2 3 3 2 2" xfId="10456" xr:uid="{00000000-0005-0000-0000-00006D0B0000}"/>
    <cellStyle name="Comma 26 2 2 3 3 3" xfId="7798" xr:uid="{00000000-0005-0000-0000-00006E0B0000}"/>
    <cellStyle name="Comma 26 2 2 3 4" xfId="2714" xr:uid="{00000000-0005-0000-0000-00006F0B0000}"/>
    <cellStyle name="Comma 26 2 2 3 4 2" xfId="6019" xr:uid="{00000000-0005-0000-0000-0000700B0000}"/>
    <cellStyle name="Comma 26 2 2 3 4 2 2" xfId="11333" xr:uid="{00000000-0005-0000-0000-0000710B0000}"/>
    <cellStyle name="Comma 26 2 2 3 4 3" xfId="8675" xr:uid="{00000000-0005-0000-0000-0000720B0000}"/>
    <cellStyle name="Comma 26 2 2 3 5" xfId="3890" xr:uid="{00000000-0005-0000-0000-0000730B0000}"/>
    <cellStyle name="Comma 26 2 2 3 5 2" xfId="9579" xr:uid="{00000000-0005-0000-0000-0000740B0000}"/>
    <cellStyle name="Comma 26 2 2 3 6" xfId="6921" xr:uid="{00000000-0005-0000-0000-0000750B0000}"/>
    <cellStyle name="Comma 26 2 2 4" xfId="861" xr:uid="{00000000-0005-0000-0000-0000760B0000}"/>
    <cellStyle name="Comma 26 2 2 4 2" xfId="2031" xr:uid="{00000000-0005-0000-0000-0000770B0000}"/>
    <cellStyle name="Comma 26 2 2 4 2 2" xfId="5378" xr:uid="{00000000-0005-0000-0000-0000780B0000}"/>
    <cellStyle name="Comma 26 2 2 4 2 2 2" xfId="10692" xr:uid="{00000000-0005-0000-0000-0000790B0000}"/>
    <cellStyle name="Comma 26 2 2 4 2 3" xfId="8034" xr:uid="{00000000-0005-0000-0000-00007A0B0000}"/>
    <cellStyle name="Comma 26 2 2 4 3" xfId="2952" xr:uid="{00000000-0005-0000-0000-00007B0B0000}"/>
    <cellStyle name="Comma 26 2 2 4 3 2" xfId="6255" xr:uid="{00000000-0005-0000-0000-00007C0B0000}"/>
    <cellStyle name="Comma 26 2 2 4 3 2 2" xfId="11569" xr:uid="{00000000-0005-0000-0000-00007D0B0000}"/>
    <cellStyle name="Comma 26 2 2 4 3 3" xfId="8911" xr:uid="{00000000-0005-0000-0000-00007E0B0000}"/>
    <cellStyle name="Comma 26 2 2 4 4" xfId="4253" xr:uid="{00000000-0005-0000-0000-00007F0B0000}"/>
    <cellStyle name="Comma 26 2 2 4 4 2" xfId="9815" xr:uid="{00000000-0005-0000-0000-0000800B0000}"/>
    <cellStyle name="Comma 26 2 2 4 5" xfId="7157" xr:uid="{00000000-0005-0000-0000-0000810B0000}"/>
    <cellStyle name="Comma 26 2 2 5" xfId="1586" xr:uid="{00000000-0005-0000-0000-0000820B0000}"/>
    <cellStyle name="Comma 26 2 2 5 2" xfId="4942" xr:uid="{00000000-0005-0000-0000-0000830B0000}"/>
    <cellStyle name="Comma 26 2 2 5 2 2" xfId="10256" xr:uid="{00000000-0005-0000-0000-0000840B0000}"/>
    <cellStyle name="Comma 26 2 2 5 3" xfId="7598" xr:uid="{00000000-0005-0000-0000-0000850B0000}"/>
    <cellStyle name="Comma 26 2 2 6" xfId="2508" xr:uid="{00000000-0005-0000-0000-0000860B0000}"/>
    <cellStyle name="Comma 26 2 2 6 2" xfId="5819" xr:uid="{00000000-0005-0000-0000-0000870B0000}"/>
    <cellStyle name="Comma 26 2 2 6 2 2" xfId="11133" xr:uid="{00000000-0005-0000-0000-0000880B0000}"/>
    <cellStyle name="Comma 26 2 2 6 3" xfId="8475" xr:uid="{00000000-0005-0000-0000-0000890B0000}"/>
    <cellStyle name="Comma 26 2 2 7" xfId="3568" xr:uid="{00000000-0005-0000-0000-00008A0B0000}"/>
    <cellStyle name="Comma 26 2 2 7 2" xfId="9379" xr:uid="{00000000-0005-0000-0000-00008B0B0000}"/>
    <cellStyle name="Comma 26 2 2 8" xfId="6716" xr:uid="{00000000-0005-0000-0000-00008C0B0000}"/>
    <cellStyle name="Comma 26 2 3" xfId="207" xr:uid="{00000000-0005-0000-0000-00008D0B0000}"/>
    <cellStyle name="Comma 26 2 3 2" xfId="402" xr:uid="{00000000-0005-0000-0000-00008E0B0000}"/>
    <cellStyle name="Comma 26 2 3 2 2" xfId="725" xr:uid="{00000000-0005-0000-0000-00008F0B0000}"/>
    <cellStyle name="Comma 26 2 3 2 2 2" xfId="1412" xr:uid="{00000000-0005-0000-0000-0000900B0000}"/>
    <cellStyle name="Comma 26 2 3 2 2 2 2" xfId="2344" xr:uid="{00000000-0005-0000-0000-0000910B0000}"/>
    <cellStyle name="Comma 26 2 3 2 2 2 2 2" xfId="5691" xr:uid="{00000000-0005-0000-0000-0000920B0000}"/>
    <cellStyle name="Comma 26 2 3 2 2 2 2 2 2" xfId="11005" xr:uid="{00000000-0005-0000-0000-0000930B0000}"/>
    <cellStyle name="Comma 26 2 3 2 2 2 2 3" xfId="8347" xr:uid="{00000000-0005-0000-0000-0000940B0000}"/>
    <cellStyle name="Comma 26 2 3 2 2 2 3" xfId="3265" xr:uid="{00000000-0005-0000-0000-0000950B0000}"/>
    <cellStyle name="Comma 26 2 3 2 2 2 3 2" xfId="6568" xr:uid="{00000000-0005-0000-0000-0000960B0000}"/>
    <cellStyle name="Comma 26 2 3 2 2 2 3 2 2" xfId="11882" xr:uid="{00000000-0005-0000-0000-0000970B0000}"/>
    <cellStyle name="Comma 26 2 3 2 2 2 3 3" xfId="9224" xr:uid="{00000000-0005-0000-0000-0000980B0000}"/>
    <cellStyle name="Comma 26 2 3 2 2 2 4" xfId="4804" xr:uid="{00000000-0005-0000-0000-0000990B0000}"/>
    <cellStyle name="Comma 26 2 3 2 2 2 4 2" xfId="10128" xr:uid="{00000000-0005-0000-0000-00009A0B0000}"/>
    <cellStyle name="Comma 26 2 3 2 2 2 5" xfId="7470" xr:uid="{00000000-0005-0000-0000-00009B0B0000}"/>
    <cellStyle name="Comma 26 2 3 2 2 3" xfId="1906" xr:uid="{00000000-0005-0000-0000-00009C0B0000}"/>
    <cellStyle name="Comma 26 2 3 2 2 3 2" xfId="5255" xr:uid="{00000000-0005-0000-0000-00009D0B0000}"/>
    <cellStyle name="Comma 26 2 3 2 2 3 2 2" xfId="10569" xr:uid="{00000000-0005-0000-0000-00009E0B0000}"/>
    <cellStyle name="Comma 26 2 3 2 2 3 3" xfId="7911" xr:uid="{00000000-0005-0000-0000-00009F0B0000}"/>
    <cellStyle name="Comma 26 2 3 2 2 4" xfId="2827" xr:uid="{00000000-0005-0000-0000-0000A00B0000}"/>
    <cellStyle name="Comma 26 2 3 2 2 4 2" xfId="6132" xr:uid="{00000000-0005-0000-0000-0000A10B0000}"/>
    <cellStyle name="Comma 26 2 3 2 2 4 2 2" xfId="11446" xr:uid="{00000000-0005-0000-0000-0000A20B0000}"/>
    <cellStyle name="Comma 26 2 3 2 2 4 3" xfId="8788" xr:uid="{00000000-0005-0000-0000-0000A30B0000}"/>
    <cellStyle name="Comma 26 2 3 2 2 5" xfId="4119" xr:uid="{00000000-0005-0000-0000-0000A40B0000}"/>
    <cellStyle name="Comma 26 2 3 2 2 5 2" xfId="9692" xr:uid="{00000000-0005-0000-0000-0000A50B0000}"/>
    <cellStyle name="Comma 26 2 3 2 2 6" xfId="7034" xr:uid="{00000000-0005-0000-0000-0000A60B0000}"/>
    <cellStyle name="Comma 26 2 3 2 3" xfId="1090" xr:uid="{00000000-0005-0000-0000-0000A70B0000}"/>
    <cellStyle name="Comma 26 2 3 2 3 2" xfId="2144" xr:uid="{00000000-0005-0000-0000-0000A80B0000}"/>
    <cellStyle name="Comma 26 2 3 2 3 2 2" xfId="5491" xr:uid="{00000000-0005-0000-0000-0000A90B0000}"/>
    <cellStyle name="Comma 26 2 3 2 3 2 2 2" xfId="10805" xr:uid="{00000000-0005-0000-0000-0000AA0B0000}"/>
    <cellStyle name="Comma 26 2 3 2 3 2 3" xfId="8147" xr:uid="{00000000-0005-0000-0000-0000AB0B0000}"/>
    <cellStyle name="Comma 26 2 3 2 3 3" xfId="3065" xr:uid="{00000000-0005-0000-0000-0000AC0B0000}"/>
    <cellStyle name="Comma 26 2 3 2 3 3 2" xfId="6368" xr:uid="{00000000-0005-0000-0000-0000AD0B0000}"/>
    <cellStyle name="Comma 26 2 3 2 3 3 2 2" xfId="11682" xr:uid="{00000000-0005-0000-0000-0000AE0B0000}"/>
    <cellStyle name="Comma 26 2 3 2 3 3 3" xfId="9024" xr:uid="{00000000-0005-0000-0000-0000AF0B0000}"/>
    <cellStyle name="Comma 26 2 3 2 3 4" xfId="4482" xr:uid="{00000000-0005-0000-0000-0000B00B0000}"/>
    <cellStyle name="Comma 26 2 3 2 3 4 2" xfId="9928" xr:uid="{00000000-0005-0000-0000-0000B10B0000}"/>
    <cellStyle name="Comma 26 2 3 2 3 5" xfId="7270" xr:uid="{00000000-0005-0000-0000-0000B20B0000}"/>
    <cellStyle name="Comma 26 2 3 2 4" xfId="1706" xr:uid="{00000000-0005-0000-0000-0000B30B0000}"/>
    <cellStyle name="Comma 26 2 3 2 4 2" xfId="5055" xr:uid="{00000000-0005-0000-0000-0000B40B0000}"/>
    <cellStyle name="Comma 26 2 3 2 4 2 2" xfId="10369" xr:uid="{00000000-0005-0000-0000-0000B50B0000}"/>
    <cellStyle name="Comma 26 2 3 2 4 3" xfId="7711" xr:uid="{00000000-0005-0000-0000-0000B60B0000}"/>
    <cellStyle name="Comma 26 2 3 2 5" xfId="2627" xr:uid="{00000000-0005-0000-0000-0000B70B0000}"/>
    <cellStyle name="Comma 26 2 3 2 5 2" xfId="5932" xr:uid="{00000000-0005-0000-0000-0000B80B0000}"/>
    <cellStyle name="Comma 26 2 3 2 5 2 2" xfId="11246" xr:uid="{00000000-0005-0000-0000-0000B90B0000}"/>
    <cellStyle name="Comma 26 2 3 2 5 3" xfId="8588" xr:uid="{00000000-0005-0000-0000-0000BA0B0000}"/>
    <cellStyle name="Comma 26 2 3 2 6" xfId="3797" xr:uid="{00000000-0005-0000-0000-0000BB0B0000}"/>
    <cellStyle name="Comma 26 2 3 2 6 2" xfId="9492" xr:uid="{00000000-0005-0000-0000-0000BC0B0000}"/>
    <cellStyle name="Comma 26 2 3 2 7" xfId="6834" xr:uid="{00000000-0005-0000-0000-0000BD0B0000}"/>
    <cellStyle name="Comma 26 2 3 3" xfId="576" xr:uid="{00000000-0005-0000-0000-0000BE0B0000}"/>
    <cellStyle name="Comma 26 2 3 3 2" xfId="1263" xr:uid="{00000000-0005-0000-0000-0000BF0B0000}"/>
    <cellStyle name="Comma 26 2 3 3 2 2" xfId="2255" xr:uid="{00000000-0005-0000-0000-0000C00B0000}"/>
    <cellStyle name="Comma 26 2 3 3 2 2 2" xfId="5602" xr:uid="{00000000-0005-0000-0000-0000C10B0000}"/>
    <cellStyle name="Comma 26 2 3 3 2 2 2 2" xfId="10916" xr:uid="{00000000-0005-0000-0000-0000C20B0000}"/>
    <cellStyle name="Comma 26 2 3 3 2 2 3" xfId="8258" xr:uid="{00000000-0005-0000-0000-0000C30B0000}"/>
    <cellStyle name="Comma 26 2 3 3 2 3" xfId="3176" xr:uid="{00000000-0005-0000-0000-0000C40B0000}"/>
    <cellStyle name="Comma 26 2 3 3 2 3 2" xfId="6479" xr:uid="{00000000-0005-0000-0000-0000C50B0000}"/>
    <cellStyle name="Comma 26 2 3 3 2 3 2 2" xfId="11793" xr:uid="{00000000-0005-0000-0000-0000C60B0000}"/>
    <cellStyle name="Comma 26 2 3 3 2 3 3" xfId="9135" xr:uid="{00000000-0005-0000-0000-0000C70B0000}"/>
    <cellStyle name="Comma 26 2 3 3 2 4" xfId="4655" xr:uid="{00000000-0005-0000-0000-0000C80B0000}"/>
    <cellStyle name="Comma 26 2 3 3 2 4 2" xfId="10039" xr:uid="{00000000-0005-0000-0000-0000C90B0000}"/>
    <cellStyle name="Comma 26 2 3 3 2 5" xfId="7381" xr:uid="{00000000-0005-0000-0000-0000CA0B0000}"/>
    <cellStyle name="Comma 26 2 3 3 3" xfId="1817" xr:uid="{00000000-0005-0000-0000-0000CB0B0000}"/>
    <cellStyle name="Comma 26 2 3 3 3 2" xfId="5166" xr:uid="{00000000-0005-0000-0000-0000CC0B0000}"/>
    <cellStyle name="Comma 26 2 3 3 3 2 2" xfId="10480" xr:uid="{00000000-0005-0000-0000-0000CD0B0000}"/>
    <cellStyle name="Comma 26 2 3 3 3 3" xfId="7822" xr:uid="{00000000-0005-0000-0000-0000CE0B0000}"/>
    <cellStyle name="Comma 26 2 3 3 4" xfId="2738" xr:uid="{00000000-0005-0000-0000-0000CF0B0000}"/>
    <cellStyle name="Comma 26 2 3 3 4 2" xfId="6043" xr:uid="{00000000-0005-0000-0000-0000D00B0000}"/>
    <cellStyle name="Comma 26 2 3 3 4 2 2" xfId="11357" xr:uid="{00000000-0005-0000-0000-0000D10B0000}"/>
    <cellStyle name="Comma 26 2 3 3 4 3" xfId="8699" xr:uid="{00000000-0005-0000-0000-0000D20B0000}"/>
    <cellStyle name="Comma 26 2 3 3 5" xfId="3970" xr:uid="{00000000-0005-0000-0000-0000D30B0000}"/>
    <cellStyle name="Comma 26 2 3 3 5 2" xfId="9603" xr:uid="{00000000-0005-0000-0000-0000D40B0000}"/>
    <cellStyle name="Comma 26 2 3 3 6" xfId="6945" xr:uid="{00000000-0005-0000-0000-0000D50B0000}"/>
    <cellStyle name="Comma 26 2 3 4" xfId="941" xr:uid="{00000000-0005-0000-0000-0000D60B0000}"/>
    <cellStyle name="Comma 26 2 3 4 2" xfId="2055" xr:uid="{00000000-0005-0000-0000-0000D70B0000}"/>
    <cellStyle name="Comma 26 2 3 4 2 2" xfId="5402" xr:uid="{00000000-0005-0000-0000-0000D80B0000}"/>
    <cellStyle name="Comma 26 2 3 4 2 2 2" xfId="10716" xr:uid="{00000000-0005-0000-0000-0000D90B0000}"/>
    <cellStyle name="Comma 26 2 3 4 2 3" xfId="8058" xr:uid="{00000000-0005-0000-0000-0000DA0B0000}"/>
    <cellStyle name="Comma 26 2 3 4 3" xfId="2976" xr:uid="{00000000-0005-0000-0000-0000DB0B0000}"/>
    <cellStyle name="Comma 26 2 3 4 3 2" xfId="6279" xr:uid="{00000000-0005-0000-0000-0000DC0B0000}"/>
    <cellStyle name="Comma 26 2 3 4 3 2 2" xfId="11593" xr:uid="{00000000-0005-0000-0000-0000DD0B0000}"/>
    <cellStyle name="Comma 26 2 3 4 3 3" xfId="8935" xr:uid="{00000000-0005-0000-0000-0000DE0B0000}"/>
    <cellStyle name="Comma 26 2 3 4 4" xfId="4333" xr:uid="{00000000-0005-0000-0000-0000DF0B0000}"/>
    <cellStyle name="Comma 26 2 3 4 4 2" xfId="9839" xr:uid="{00000000-0005-0000-0000-0000E00B0000}"/>
    <cellStyle name="Comma 26 2 3 4 5" xfId="7181" xr:uid="{00000000-0005-0000-0000-0000E10B0000}"/>
    <cellStyle name="Comma 26 2 3 5" xfId="1616" xr:uid="{00000000-0005-0000-0000-0000E20B0000}"/>
    <cellStyle name="Comma 26 2 3 5 2" xfId="4966" xr:uid="{00000000-0005-0000-0000-0000E30B0000}"/>
    <cellStyle name="Comma 26 2 3 5 2 2" xfId="10280" xr:uid="{00000000-0005-0000-0000-0000E40B0000}"/>
    <cellStyle name="Comma 26 2 3 5 3" xfId="7622" xr:uid="{00000000-0005-0000-0000-0000E50B0000}"/>
    <cellStyle name="Comma 26 2 3 6" xfId="2537" xr:uid="{00000000-0005-0000-0000-0000E60B0000}"/>
    <cellStyle name="Comma 26 2 3 6 2" xfId="5843" xr:uid="{00000000-0005-0000-0000-0000E70B0000}"/>
    <cellStyle name="Comma 26 2 3 6 2 2" xfId="11157" xr:uid="{00000000-0005-0000-0000-0000E80B0000}"/>
    <cellStyle name="Comma 26 2 3 6 3" xfId="8499" xr:uid="{00000000-0005-0000-0000-0000E90B0000}"/>
    <cellStyle name="Comma 26 2 3 7" xfId="3648" xr:uid="{00000000-0005-0000-0000-0000EA0B0000}"/>
    <cellStyle name="Comma 26 2 3 7 2" xfId="9403" xr:uid="{00000000-0005-0000-0000-0000EB0B0000}"/>
    <cellStyle name="Comma 26 2 3 8" xfId="6740" xr:uid="{00000000-0005-0000-0000-0000EC0B0000}"/>
    <cellStyle name="Comma 26 2 4" xfId="312" xr:uid="{00000000-0005-0000-0000-0000ED0B0000}"/>
    <cellStyle name="Comma 26 2 4 2" xfId="635" xr:uid="{00000000-0005-0000-0000-0000EE0B0000}"/>
    <cellStyle name="Comma 26 2 4 2 2" xfId="1322" xr:uid="{00000000-0005-0000-0000-0000EF0B0000}"/>
    <cellStyle name="Comma 26 2 4 2 2 2" xfId="2312" xr:uid="{00000000-0005-0000-0000-0000F00B0000}"/>
    <cellStyle name="Comma 26 2 4 2 2 2 2" xfId="5659" xr:uid="{00000000-0005-0000-0000-0000F10B0000}"/>
    <cellStyle name="Comma 26 2 4 2 2 2 2 2" xfId="10973" xr:uid="{00000000-0005-0000-0000-0000F20B0000}"/>
    <cellStyle name="Comma 26 2 4 2 2 2 3" xfId="8315" xr:uid="{00000000-0005-0000-0000-0000F30B0000}"/>
    <cellStyle name="Comma 26 2 4 2 2 3" xfId="3233" xr:uid="{00000000-0005-0000-0000-0000F40B0000}"/>
    <cellStyle name="Comma 26 2 4 2 2 3 2" xfId="6536" xr:uid="{00000000-0005-0000-0000-0000F50B0000}"/>
    <cellStyle name="Comma 26 2 4 2 2 3 2 2" xfId="11850" xr:uid="{00000000-0005-0000-0000-0000F60B0000}"/>
    <cellStyle name="Comma 26 2 4 2 2 3 3" xfId="9192" xr:uid="{00000000-0005-0000-0000-0000F70B0000}"/>
    <cellStyle name="Comma 26 2 4 2 2 4" xfId="4714" xr:uid="{00000000-0005-0000-0000-0000F80B0000}"/>
    <cellStyle name="Comma 26 2 4 2 2 4 2" xfId="10096" xr:uid="{00000000-0005-0000-0000-0000F90B0000}"/>
    <cellStyle name="Comma 26 2 4 2 2 5" xfId="7438" xr:uid="{00000000-0005-0000-0000-0000FA0B0000}"/>
    <cellStyle name="Comma 26 2 4 2 3" xfId="1874" xr:uid="{00000000-0005-0000-0000-0000FB0B0000}"/>
    <cellStyle name="Comma 26 2 4 2 3 2" xfId="5223" xr:uid="{00000000-0005-0000-0000-0000FC0B0000}"/>
    <cellStyle name="Comma 26 2 4 2 3 2 2" xfId="10537" xr:uid="{00000000-0005-0000-0000-0000FD0B0000}"/>
    <cellStyle name="Comma 26 2 4 2 3 3" xfId="7879" xr:uid="{00000000-0005-0000-0000-0000FE0B0000}"/>
    <cellStyle name="Comma 26 2 4 2 4" xfId="2795" xr:uid="{00000000-0005-0000-0000-0000FF0B0000}"/>
    <cellStyle name="Comma 26 2 4 2 4 2" xfId="6100" xr:uid="{00000000-0005-0000-0000-0000000C0000}"/>
    <cellStyle name="Comma 26 2 4 2 4 2 2" xfId="11414" xr:uid="{00000000-0005-0000-0000-0000010C0000}"/>
    <cellStyle name="Comma 26 2 4 2 4 3" xfId="8756" xr:uid="{00000000-0005-0000-0000-0000020C0000}"/>
    <cellStyle name="Comma 26 2 4 2 5" xfId="4029" xr:uid="{00000000-0005-0000-0000-0000030C0000}"/>
    <cellStyle name="Comma 26 2 4 2 5 2" xfId="9660" xr:uid="{00000000-0005-0000-0000-0000040C0000}"/>
    <cellStyle name="Comma 26 2 4 2 6" xfId="7002" xr:uid="{00000000-0005-0000-0000-0000050C0000}"/>
    <cellStyle name="Comma 26 2 4 3" xfId="1000" xr:uid="{00000000-0005-0000-0000-0000060C0000}"/>
    <cellStyle name="Comma 26 2 4 3 2" xfId="2112" xr:uid="{00000000-0005-0000-0000-0000070C0000}"/>
    <cellStyle name="Comma 26 2 4 3 2 2" xfId="5459" xr:uid="{00000000-0005-0000-0000-0000080C0000}"/>
    <cellStyle name="Comma 26 2 4 3 2 2 2" xfId="10773" xr:uid="{00000000-0005-0000-0000-0000090C0000}"/>
    <cellStyle name="Comma 26 2 4 3 2 3" xfId="8115" xr:uid="{00000000-0005-0000-0000-00000A0C0000}"/>
    <cellStyle name="Comma 26 2 4 3 3" xfId="3033" xr:uid="{00000000-0005-0000-0000-00000B0C0000}"/>
    <cellStyle name="Comma 26 2 4 3 3 2" xfId="6336" xr:uid="{00000000-0005-0000-0000-00000C0C0000}"/>
    <cellStyle name="Comma 26 2 4 3 3 2 2" xfId="11650" xr:uid="{00000000-0005-0000-0000-00000D0C0000}"/>
    <cellStyle name="Comma 26 2 4 3 3 3" xfId="8992" xr:uid="{00000000-0005-0000-0000-00000E0C0000}"/>
    <cellStyle name="Comma 26 2 4 3 4" xfId="4392" xr:uid="{00000000-0005-0000-0000-00000F0C0000}"/>
    <cellStyle name="Comma 26 2 4 3 4 2" xfId="9896" xr:uid="{00000000-0005-0000-0000-0000100C0000}"/>
    <cellStyle name="Comma 26 2 4 3 5" xfId="7238" xr:uid="{00000000-0005-0000-0000-0000110C0000}"/>
    <cellStyle name="Comma 26 2 4 4" xfId="1674" xr:uid="{00000000-0005-0000-0000-0000120C0000}"/>
    <cellStyle name="Comma 26 2 4 4 2" xfId="5023" xr:uid="{00000000-0005-0000-0000-0000130C0000}"/>
    <cellStyle name="Comma 26 2 4 4 2 2" xfId="10337" xr:uid="{00000000-0005-0000-0000-0000140C0000}"/>
    <cellStyle name="Comma 26 2 4 4 3" xfId="7679" xr:uid="{00000000-0005-0000-0000-0000150C0000}"/>
    <cellStyle name="Comma 26 2 4 5" xfId="2595" xr:uid="{00000000-0005-0000-0000-0000160C0000}"/>
    <cellStyle name="Comma 26 2 4 5 2" xfId="5900" xr:uid="{00000000-0005-0000-0000-0000170C0000}"/>
    <cellStyle name="Comma 26 2 4 5 2 2" xfId="11214" xr:uid="{00000000-0005-0000-0000-0000180C0000}"/>
    <cellStyle name="Comma 26 2 4 5 3" xfId="8556" xr:uid="{00000000-0005-0000-0000-0000190C0000}"/>
    <cellStyle name="Comma 26 2 4 6" xfId="3707" xr:uid="{00000000-0005-0000-0000-00001A0C0000}"/>
    <cellStyle name="Comma 26 2 4 6 2" xfId="9460" xr:uid="{00000000-0005-0000-0000-00001B0C0000}"/>
    <cellStyle name="Comma 26 2 4 7" xfId="6802" xr:uid="{00000000-0005-0000-0000-00001C0C0000}"/>
    <cellStyle name="Comma 26 2 5" xfId="487" xr:uid="{00000000-0005-0000-0000-00001D0C0000}"/>
    <cellStyle name="Comma 26 2 5 2" xfId="1174" xr:uid="{00000000-0005-0000-0000-00001E0C0000}"/>
    <cellStyle name="Comma 26 2 5 2 2" xfId="2223" xr:uid="{00000000-0005-0000-0000-00001F0C0000}"/>
    <cellStyle name="Comma 26 2 5 2 2 2" xfId="5570" xr:uid="{00000000-0005-0000-0000-0000200C0000}"/>
    <cellStyle name="Comma 26 2 5 2 2 2 2" xfId="10884" xr:uid="{00000000-0005-0000-0000-0000210C0000}"/>
    <cellStyle name="Comma 26 2 5 2 2 3" xfId="8226" xr:uid="{00000000-0005-0000-0000-0000220C0000}"/>
    <cellStyle name="Comma 26 2 5 2 3" xfId="3144" xr:uid="{00000000-0005-0000-0000-0000230C0000}"/>
    <cellStyle name="Comma 26 2 5 2 3 2" xfId="6447" xr:uid="{00000000-0005-0000-0000-0000240C0000}"/>
    <cellStyle name="Comma 26 2 5 2 3 2 2" xfId="11761" xr:uid="{00000000-0005-0000-0000-0000250C0000}"/>
    <cellStyle name="Comma 26 2 5 2 3 3" xfId="9103" xr:uid="{00000000-0005-0000-0000-0000260C0000}"/>
    <cellStyle name="Comma 26 2 5 2 4" xfId="4566" xr:uid="{00000000-0005-0000-0000-0000270C0000}"/>
    <cellStyle name="Comma 26 2 5 2 4 2" xfId="10007" xr:uid="{00000000-0005-0000-0000-0000280C0000}"/>
    <cellStyle name="Comma 26 2 5 2 5" xfId="7349" xr:uid="{00000000-0005-0000-0000-0000290C0000}"/>
    <cellStyle name="Comma 26 2 5 3" xfId="1785" xr:uid="{00000000-0005-0000-0000-00002A0C0000}"/>
    <cellStyle name="Comma 26 2 5 3 2" xfId="5134" xr:uid="{00000000-0005-0000-0000-00002B0C0000}"/>
    <cellStyle name="Comma 26 2 5 3 2 2" xfId="10448" xr:uid="{00000000-0005-0000-0000-00002C0C0000}"/>
    <cellStyle name="Comma 26 2 5 3 3" xfId="7790" xr:uid="{00000000-0005-0000-0000-00002D0C0000}"/>
    <cellStyle name="Comma 26 2 5 4" xfId="2706" xr:uid="{00000000-0005-0000-0000-00002E0C0000}"/>
    <cellStyle name="Comma 26 2 5 4 2" xfId="6011" xr:uid="{00000000-0005-0000-0000-00002F0C0000}"/>
    <cellStyle name="Comma 26 2 5 4 2 2" xfId="11325" xr:uid="{00000000-0005-0000-0000-0000300C0000}"/>
    <cellStyle name="Comma 26 2 5 4 3" xfId="8667" xr:uid="{00000000-0005-0000-0000-0000310C0000}"/>
    <cellStyle name="Comma 26 2 5 5" xfId="3881" xr:uid="{00000000-0005-0000-0000-0000320C0000}"/>
    <cellStyle name="Comma 26 2 5 5 2" xfId="9571" xr:uid="{00000000-0005-0000-0000-0000330C0000}"/>
    <cellStyle name="Comma 26 2 5 6" xfId="6913" xr:uid="{00000000-0005-0000-0000-0000340C0000}"/>
    <cellStyle name="Comma 26 2 6" xfId="852" xr:uid="{00000000-0005-0000-0000-0000350C0000}"/>
    <cellStyle name="Comma 26 2 6 2" xfId="2023" xr:uid="{00000000-0005-0000-0000-0000360C0000}"/>
    <cellStyle name="Comma 26 2 6 2 2" xfId="5370" xr:uid="{00000000-0005-0000-0000-0000370C0000}"/>
    <cellStyle name="Comma 26 2 6 2 2 2" xfId="10684" xr:uid="{00000000-0005-0000-0000-0000380C0000}"/>
    <cellStyle name="Comma 26 2 6 2 3" xfId="8026" xr:uid="{00000000-0005-0000-0000-0000390C0000}"/>
    <cellStyle name="Comma 26 2 6 3" xfId="2944" xr:uid="{00000000-0005-0000-0000-00003A0C0000}"/>
    <cellStyle name="Comma 26 2 6 3 2" xfId="6247" xr:uid="{00000000-0005-0000-0000-00003B0C0000}"/>
    <cellStyle name="Comma 26 2 6 3 2 2" xfId="11561" xr:uid="{00000000-0005-0000-0000-00003C0C0000}"/>
    <cellStyle name="Comma 26 2 6 3 3" xfId="8903" xr:uid="{00000000-0005-0000-0000-00003D0C0000}"/>
    <cellStyle name="Comma 26 2 6 4" xfId="4244" xr:uid="{00000000-0005-0000-0000-00003E0C0000}"/>
    <cellStyle name="Comma 26 2 6 4 2" xfId="9807" xr:uid="{00000000-0005-0000-0000-00003F0C0000}"/>
    <cellStyle name="Comma 26 2 6 5" xfId="7149" xr:uid="{00000000-0005-0000-0000-0000400C0000}"/>
    <cellStyle name="Comma 26 2 7" xfId="1546" xr:uid="{00000000-0005-0000-0000-0000410C0000}"/>
    <cellStyle name="Comma 26 2 7 2" xfId="4934" xr:uid="{00000000-0005-0000-0000-0000420C0000}"/>
    <cellStyle name="Comma 26 2 7 2 2" xfId="10248" xr:uid="{00000000-0005-0000-0000-0000430C0000}"/>
    <cellStyle name="Comma 26 2 7 3" xfId="7590" xr:uid="{00000000-0005-0000-0000-0000440C0000}"/>
    <cellStyle name="Comma 26 2 8" xfId="2468" xr:uid="{00000000-0005-0000-0000-0000450C0000}"/>
    <cellStyle name="Comma 26 2 8 2" xfId="5811" xr:uid="{00000000-0005-0000-0000-0000460C0000}"/>
    <cellStyle name="Comma 26 2 8 2 2" xfId="11125" xr:uid="{00000000-0005-0000-0000-0000470C0000}"/>
    <cellStyle name="Comma 26 2 8 3" xfId="8467" xr:uid="{00000000-0005-0000-0000-0000480C0000}"/>
    <cellStyle name="Comma 26 2 9" xfId="3559" xr:uid="{00000000-0005-0000-0000-0000490C0000}"/>
    <cellStyle name="Comma 26 2 9 2" xfId="9371" xr:uid="{00000000-0005-0000-0000-00004A0C0000}"/>
    <cellStyle name="Comma 26 3" xfId="78" xr:uid="{00000000-0005-0000-0000-00004B0C0000}"/>
    <cellStyle name="Comma 26 3 10" xfId="3564" xr:uid="{00000000-0005-0000-0000-00004C0C0000}"/>
    <cellStyle name="Comma 26 3 10 2" xfId="9376" xr:uid="{00000000-0005-0000-0000-00004D0C0000}"/>
    <cellStyle name="Comma 26 3 11" xfId="6713" xr:uid="{00000000-0005-0000-0000-00004E0C0000}"/>
    <cellStyle name="Comma 26 3 2" xfId="186" xr:uid="{00000000-0005-0000-0000-00004F0C0000}"/>
    <cellStyle name="Comma 26 3 2 2" xfId="218" xr:uid="{00000000-0005-0000-0000-0000500C0000}"/>
    <cellStyle name="Comma 26 3 2 2 2" xfId="413" xr:uid="{00000000-0005-0000-0000-0000510C0000}"/>
    <cellStyle name="Comma 26 3 2 2 2 2" xfId="736" xr:uid="{00000000-0005-0000-0000-0000520C0000}"/>
    <cellStyle name="Comma 26 3 2 2 2 2 2" xfId="1423" xr:uid="{00000000-0005-0000-0000-0000530C0000}"/>
    <cellStyle name="Comma 26 3 2 2 2 2 2 2" xfId="2355" xr:uid="{00000000-0005-0000-0000-0000540C0000}"/>
    <cellStyle name="Comma 26 3 2 2 2 2 2 2 2" xfId="5702" xr:uid="{00000000-0005-0000-0000-0000550C0000}"/>
    <cellStyle name="Comma 26 3 2 2 2 2 2 2 2 2" xfId="11016" xr:uid="{00000000-0005-0000-0000-0000560C0000}"/>
    <cellStyle name="Comma 26 3 2 2 2 2 2 2 3" xfId="8358" xr:uid="{00000000-0005-0000-0000-0000570C0000}"/>
    <cellStyle name="Comma 26 3 2 2 2 2 2 3" xfId="3276" xr:uid="{00000000-0005-0000-0000-0000580C0000}"/>
    <cellStyle name="Comma 26 3 2 2 2 2 2 3 2" xfId="6579" xr:uid="{00000000-0005-0000-0000-0000590C0000}"/>
    <cellStyle name="Comma 26 3 2 2 2 2 2 3 2 2" xfId="11893" xr:uid="{00000000-0005-0000-0000-00005A0C0000}"/>
    <cellStyle name="Comma 26 3 2 2 2 2 2 3 3" xfId="9235" xr:uid="{00000000-0005-0000-0000-00005B0C0000}"/>
    <cellStyle name="Comma 26 3 2 2 2 2 2 4" xfId="4815" xr:uid="{00000000-0005-0000-0000-00005C0C0000}"/>
    <cellStyle name="Comma 26 3 2 2 2 2 2 4 2" xfId="10139" xr:uid="{00000000-0005-0000-0000-00005D0C0000}"/>
    <cellStyle name="Comma 26 3 2 2 2 2 2 5" xfId="7481" xr:uid="{00000000-0005-0000-0000-00005E0C0000}"/>
    <cellStyle name="Comma 26 3 2 2 2 2 3" xfId="1917" xr:uid="{00000000-0005-0000-0000-00005F0C0000}"/>
    <cellStyle name="Comma 26 3 2 2 2 2 3 2" xfId="5266" xr:uid="{00000000-0005-0000-0000-0000600C0000}"/>
    <cellStyle name="Comma 26 3 2 2 2 2 3 2 2" xfId="10580" xr:uid="{00000000-0005-0000-0000-0000610C0000}"/>
    <cellStyle name="Comma 26 3 2 2 2 2 3 3" xfId="7922" xr:uid="{00000000-0005-0000-0000-0000620C0000}"/>
    <cellStyle name="Comma 26 3 2 2 2 2 4" xfId="2838" xr:uid="{00000000-0005-0000-0000-0000630C0000}"/>
    <cellStyle name="Comma 26 3 2 2 2 2 4 2" xfId="6143" xr:uid="{00000000-0005-0000-0000-0000640C0000}"/>
    <cellStyle name="Comma 26 3 2 2 2 2 4 2 2" xfId="11457" xr:uid="{00000000-0005-0000-0000-0000650C0000}"/>
    <cellStyle name="Comma 26 3 2 2 2 2 4 3" xfId="8799" xr:uid="{00000000-0005-0000-0000-0000660C0000}"/>
    <cellStyle name="Comma 26 3 2 2 2 2 5" xfId="4130" xr:uid="{00000000-0005-0000-0000-0000670C0000}"/>
    <cellStyle name="Comma 26 3 2 2 2 2 5 2" xfId="9703" xr:uid="{00000000-0005-0000-0000-0000680C0000}"/>
    <cellStyle name="Comma 26 3 2 2 2 2 6" xfId="7045" xr:uid="{00000000-0005-0000-0000-0000690C0000}"/>
    <cellStyle name="Comma 26 3 2 2 2 3" xfId="1101" xr:uid="{00000000-0005-0000-0000-00006A0C0000}"/>
    <cellStyle name="Comma 26 3 2 2 2 3 2" xfId="2155" xr:uid="{00000000-0005-0000-0000-00006B0C0000}"/>
    <cellStyle name="Comma 26 3 2 2 2 3 2 2" xfId="5502" xr:uid="{00000000-0005-0000-0000-00006C0C0000}"/>
    <cellStyle name="Comma 26 3 2 2 2 3 2 2 2" xfId="10816" xr:uid="{00000000-0005-0000-0000-00006D0C0000}"/>
    <cellStyle name="Comma 26 3 2 2 2 3 2 3" xfId="8158" xr:uid="{00000000-0005-0000-0000-00006E0C0000}"/>
    <cellStyle name="Comma 26 3 2 2 2 3 3" xfId="3076" xr:uid="{00000000-0005-0000-0000-00006F0C0000}"/>
    <cellStyle name="Comma 26 3 2 2 2 3 3 2" xfId="6379" xr:uid="{00000000-0005-0000-0000-0000700C0000}"/>
    <cellStyle name="Comma 26 3 2 2 2 3 3 2 2" xfId="11693" xr:uid="{00000000-0005-0000-0000-0000710C0000}"/>
    <cellStyle name="Comma 26 3 2 2 2 3 3 3" xfId="9035" xr:uid="{00000000-0005-0000-0000-0000720C0000}"/>
    <cellStyle name="Comma 26 3 2 2 2 3 4" xfId="4493" xr:uid="{00000000-0005-0000-0000-0000730C0000}"/>
    <cellStyle name="Comma 26 3 2 2 2 3 4 2" xfId="9939" xr:uid="{00000000-0005-0000-0000-0000740C0000}"/>
    <cellStyle name="Comma 26 3 2 2 2 3 5" xfId="7281" xr:uid="{00000000-0005-0000-0000-0000750C0000}"/>
    <cellStyle name="Comma 26 3 2 2 2 4" xfId="1717" xr:uid="{00000000-0005-0000-0000-0000760C0000}"/>
    <cellStyle name="Comma 26 3 2 2 2 4 2" xfId="5066" xr:uid="{00000000-0005-0000-0000-0000770C0000}"/>
    <cellStyle name="Comma 26 3 2 2 2 4 2 2" xfId="10380" xr:uid="{00000000-0005-0000-0000-0000780C0000}"/>
    <cellStyle name="Comma 26 3 2 2 2 4 3" xfId="7722" xr:uid="{00000000-0005-0000-0000-0000790C0000}"/>
    <cellStyle name="Comma 26 3 2 2 2 5" xfId="2638" xr:uid="{00000000-0005-0000-0000-00007A0C0000}"/>
    <cellStyle name="Comma 26 3 2 2 2 5 2" xfId="5943" xr:uid="{00000000-0005-0000-0000-00007B0C0000}"/>
    <cellStyle name="Comma 26 3 2 2 2 5 2 2" xfId="11257" xr:uid="{00000000-0005-0000-0000-00007C0C0000}"/>
    <cellStyle name="Comma 26 3 2 2 2 5 3" xfId="8599" xr:uid="{00000000-0005-0000-0000-00007D0C0000}"/>
    <cellStyle name="Comma 26 3 2 2 2 6" xfId="3808" xr:uid="{00000000-0005-0000-0000-00007E0C0000}"/>
    <cellStyle name="Comma 26 3 2 2 2 6 2" xfId="9503" xr:uid="{00000000-0005-0000-0000-00007F0C0000}"/>
    <cellStyle name="Comma 26 3 2 2 2 7" xfId="6845" xr:uid="{00000000-0005-0000-0000-0000800C0000}"/>
    <cellStyle name="Comma 26 3 2 2 3" xfId="587" xr:uid="{00000000-0005-0000-0000-0000810C0000}"/>
    <cellStyle name="Comma 26 3 2 2 3 2" xfId="1274" xr:uid="{00000000-0005-0000-0000-0000820C0000}"/>
    <cellStyle name="Comma 26 3 2 2 3 2 2" xfId="2266" xr:uid="{00000000-0005-0000-0000-0000830C0000}"/>
    <cellStyle name="Comma 26 3 2 2 3 2 2 2" xfId="5613" xr:uid="{00000000-0005-0000-0000-0000840C0000}"/>
    <cellStyle name="Comma 26 3 2 2 3 2 2 2 2" xfId="10927" xr:uid="{00000000-0005-0000-0000-0000850C0000}"/>
    <cellStyle name="Comma 26 3 2 2 3 2 2 3" xfId="8269" xr:uid="{00000000-0005-0000-0000-0000860C0000}"/>
    <cellStyle name="Comma 26 3 2 2 3 2 3" xfId="3187" xr:uid="{00000000-0005-0000-0000-0000870C0000}"/>
    <cellStyle name="Comma 26 3 2 2 3 2 3 2" xfId="6490" xr:uid="{00000000-0005-0000-0000-0000880C0000}"/>
    <cellStyle name="Comma 26 3 2 2 3 2 3 2 2" xfId="11804" xr:uid="{00000000-0005-0000-0000-0000890C0000}"/>
    <cellStyle name="Comma 26 3 2 2 3 2 3 3" xfId="9146" xr:uid="{00000000-0005-0000-0000-00008A0C0000}"/>
    <cellStyle name="Comma 26 3 2 2 3 2 4" xfId="4666" xr:uid="{00000000-0005-0000-0000-00008B0C0000}"/>
    <cellStyle name="Comma 26 3 2 2 3 2 4 2" xfId="10050" xr:uid="{00000000-0005-0000-0000-00008C0C0000}"/>
    <cellStyle name="Comma 26 3 2 2 3 2 5" xfId="7392" xr:uid="{00000000-0005-0000-0000-00008D0C0000}"/>
    <cellStyle name="Comma 26 3 2 2 3 3" xfId="1828" xr:uid="{00000000-0005-0000-0000-00008E0C0000}"/>
    <cellStyle name="Comma 26 3 2 2 3 3 2" xfId="5177" xr:uid="{00000000-0005-0000-0000-00008F0C0000}"/>
    <cellStyle name="Comma 26 3 2 2 3 3 2 2" xfId="10491" xr:uid="{00000000-0005-0000-0000-0000900C0000}"/>
    <cellStyle name="Comma 26 3 2 2 3 3 3" xfId="7833" xr:uid="{00000000-0005-0000-0000-0000910C0000}"/>
    <cellStyle name="Comma 26 3 2 2 3 4" xfId="2749" xr:uid="{00000000-0005-0000-0000-0000920C0000}"/>
    <cellStyle name="Comma 26 3 2 2 3 4 2" xfId="6054" xr:uid="{00000000-0005-0000-0000-0000930C0000}"/>
    <cellStyle name="Comma 26 3 2 2 3 4 2 2" xfId="11368" xr:uid="{00000000-0005-0000-0000-0000940C0000}"/>
    <cellStyle name="Comma 26 3 2 2 3 4 3" xfId="8710" xr:uid="{00000000-0005-0000-0000-0000950C0000}"/>
    <cellStyle name="Comma 26 3 2 2 3 5" xfId="3981" xr:uid="{00000000-0005-0000-0000-0000960C0000}"/>
    <cellStyle name="Comma 26 3 2 2 3 5 2" xfId="9614" xr:uid="{00000000-0005-0000-0000-0000970C0000}"/>
    <cellStyle name="Comma 26 3 2 2 3 6" xfId="6956" xr:uid="{00000000-0005-0000-0000-0000980C0000}"/>
    <cellStyle name="Comma 26 3 2 2 4" xfId="952" xr:uid="{00000000-0005-0000-0000-0000990C0000}"/>
    <cellStyle name="Comma 26 3 2 2 4 2" xfId="2066" xr:uid="{00000000-0005-0000-0000-00009A0C0000}"/>
    <cellStyle name="Comma 26 3 2 2 4 2 2" xfId="5413" xr:uid="{00000000-0005-0000-0000-00009B0C0000}"/>
    <cellStyle name="Comma 26 3 2 2 4 2 2 2" xfId="10727" xr:uid="{00000000-0005-0000-0000-00009C0C0000}"/>
    <cellStyle name="Comma 26 3 2 2 4 2 3" xfId="8069" xr:uid="{00000000-0005-0000-0000-00009D0C0000}"/>
    <cellStyle name="Comma 26 3 2 2 4 3" xfId="2987" xr:uid="{00000000-0005-0000-0000-00009E0C0000}"/>
    <cellStyle name="Comma 26 3 2 2 4 3 2" xfId="6290" xr:uid="{00000000-0005-0000-0000-00009F0C0000}"/>
    <cellStyle name="Comma 26 3 2 2 4 3 2 2" xfId="11604" xr:uid="{00000000-0005-0000-0000-0000A00C0000}"/>
    <cellStyle name="Comma 26 3 2 2 4 3 3" xfId="8946" xr:uid="{00000000-0005-0000-0000-0000A10C0000}"/>
    <cellStyle name="Comma 26 3 2 2 4 4" xfId="4344" xr:uid="{00000000-0005-0000-0000-0000A20C0000}"/>
    <cellStyle name="Comma 26 3 2 2 4 4 2" xfId="9850" xr:uid="{00000000-0005-0000-0000-0000A30C0000}"/>
    <cellStyle name="Comma 26 3 2 2 4 5" xfId="7192" xr:uid="{00000000-0005-0000-0000-0000A40C0000}"/>
    <cellStyle name="Comma 26 3 2 2 5" xfId="1627" xr:uid="{00000000-0005-0000-0000-0000A50C0000}"/>
    <cellStyle name="Comma 26 3 2 2 5 2" xfId="4977" xr:uid="{00000000-0005-0000-0000-0000A60C0000}"/>
    <cellStyle name="Comma 26 3 2 2 5 2 2" xfId="10291" xr:uid="{00000000-0005-0000-0000-0000A70C0000}"/>
    <cellStyle name="Comma 26 3 2 2 5 3" xfId="7633" xr:uid="{00000000-0005-0000-0000-0000A80C0000}"/>
    <cellStyle name="Comma 26 3 2 2 6" xfId="2548" xr:uid="{00000000-0005-0000-0000-0000A90C0000}"/>
    <cellStyle name="Comma 26 3 2 2 6 2" xfId="5854" xr:uid="{00000000-0005-0000-0000-0000AA0C0000}"/>
    <cellStyle name="Comma 26 3 2 2 6 2 2" xfId="11168" xr:uid="{00000000-0005-0000-0000-0000AB0C0000}"/>
    <cellStyle name="Comma 26 3 2 2 6 3" xfId="8510" xr:uid="{00000000-0005-0000-0000-0000AC0C0000}"/>
    <cellStyle name="Comma 26 3 2 2 7" xfId="3659" xr:uid="{00000000-0005-0000-0000-0000AD0C0000}"/>
    <cellStyle name="Comma 26 3 2 2 7 2" xfId="9414" xr:uid="{00000000-0005-0000-0000-0000AE0C0000}"/>
    <cellStyle name="Comma 26 3 2 2 8" xfId="6751" xr:uid="{00000000-0005-0000-0000-0000AF0C0000}"/>
    <cellStyle name="Comma 26 3 2 3" xfId="387" xr:uid="{00000000-0005-0000-0000-0000B00C0000}"/>
    <cellStyle name="Comma 26 3 2 3 2" xfId="710" xr:uid="{00000000-0005-0000-0000-0000B10C0000}"/>
    <cellStyle name="Comma 26 3 2 3 2 2" xfId="1397" xr:uid="{00000000-0005-0000-0000-0000B20C0000}"/>
    <cellStyle name="Comma 26 3 2 3 2 2 2" xfId="2330" xr:uid="{00000000-0005-0000-0000-0000B30C0000}"/>
    <cellStyle name="Comma 26 3 2 3 2 2 2 2" xfId="5677" xr:uid="{00000000-0005-0000-0000-0000B40C0000}"/>
    <cellStyle name="Comma 26 3 2 3 2 2 2 2 2" xfId="10991" xr:uid="{00000000-0005-0000-0000-0000B50C0000}"/>
    <cellStyle name="Comma 26 3 2 3 2 2 2 3" xfId="8333" xr:uid="{00000000-0005-0000-0000-0000B60C0000}"/>
    <cellStyle name="Comma 26 3 2 3 2 2 3" xfId="3251" xr:uid="{00000000-0005-0000-0000-0000B70C0000}"/>
    <cellStyle name="Comma 26 3 2 3 2 2 3 2" xfId="6554" xr:uid="{00000000-0005-0000-0000-0000B80C0000}"/>
    <cellStyle name="Comma 26 3 2 3 2 2 3 2 2" xfId="11868" xr:uid="{00000000-0005-0000-0000-0000B90C0000}"/>
    <cellStyle name="Comma 26 3 2 3 2 2 3 3" xfId="9210" xr:uid="{00000000-0005-0000-0000-0000BA0C0000}"/>
    <cellStyle name="Comma 26 3 2 3 2 2 4" xfId="4789" xr:uid="{00000000-0005-0000-0000-0000BB0C0000}"/>
    <cellStyle name="Comma 26 3 2 3 2 2 4 2" xfId="10114" xr:uid="{00000000-0005-0000-0000-0000BC0C0000}"/>
    <cellStyle name="Comma 26 3 2 3 2 2 5" xfId="7456" xr:uid="{00000000-0005-0000-0000-0000BD0C0000}"/>
    <cellStyle name="Comma 26 3 2 3 2 3" xfId="1892" xr:uid="{00000000-0005-0000-0000-0000BE0C0000}"/>
    <cellStyle name="Comma 26 3 2 3 2 3 2" xfId="5241" xr:uid="{00000000-0005-0000-0000-0000BF0C0000}"/>
    <cellStyle name="Comma 26 3 2 3 2 3 2 2" xfId="10555" xr:uid="{00000000-0005-0000-0000-0000C00C0000}"/>
    <cellStyle name="Comma 26 3 2 3 2 3 3" xfId="7897" xr:uid="{00000000-0005-0000-0000-0000C10C0000}"/>
    <cellStyle name="Comma 26 3 2 3 2 4" xfId="2813" xr:uid="{00000000-0005-0000-0000-0000C20C0000}"/>
    <cellStyle name="Comma 26 3 2 3 2 4 2" xfId="6118" xr:uid="{00000000-0005-0000-0000-0000C30C0000}"/>
    <cellStyle name="Comma 26 3 2 3 2 4 2 2" xfId="11432" xr:uid="{00000000-0005-0000-0000-0000C40C0000}"/>
    <cellStyle name="Comma 26 3 2 3 2 4 3" xfId="8774" xr:uid="{00000000-0005-0000-0000-0000C50C0000}"/>
    <cellStyle name="Comma 26 3 2 3 2 5" xfId="4104" xr:uid="{00000000-0005-0000-0000-0000C60C0000}"/>
    <cellStyle name="Comma 26 3 2 3 2 5 2" xfId="9678" xr:uid="{00000000-0005-0000-0000-0000C70C0000}"/>
    <cellStyle name="Comma 26 3 2 3 2 6" xfId="7020" xr:uid="{00000000-0005-0000-0000-0000C80C0000}"/>
    <cellStyle name="Comma 26 3 2 3 3" xfId="1075" xr:uid="{00000000-0005-0000-0000-0000C90C0000}"/>
    <cellStyle name="Comma 26 3 2 3 3 2" xfId="2130" xr:uid="{00000000-0005-0000-0000-0000CA0C0000}"/>
    <cellStyle name="Comma 26 3 2 3 3 2 2" xfId="5477" xr:uid="{00000000-0005-0000-0000-0000CB0C0000}"/>
    <cellStyle name="Comma 26 3 2 3 3 2 2 2" xfId="10791" xr:uid="{00000000-0005-0000-0000-0000CC0C0000}"/>
    <cellStyle name="Comma 26 3 2 3 3 2 3" xfId="8133" xr:uid="{00000000-0005-0000-0000-0000CD0C0000}"/>
    <cellStyle name="Comma 26 3 2 3 3 3" xfId="3051" xr:uid="{00000000-0005-0000-0000-0000CE0C0000}"/>
    <cellStyle name="Comma 26 3 2 3 3 3 2" xfId="6354" xr:uid="{00000000-0005-0000-0000-0000CF0C0000}"/>
    <cellStyle name="Comma 26 3 2 3 3 3 2 2" xfId="11668" xr:uid="{00000000-0005-0000-0000-0000D00C0000}"/>
    <cellStyle name="Comma 26 3 2 3 3 3 3" xfId="9010" xr:uid="{00000000-0005-0000-0000-0000D10C0000}"/>
    <cellStyle name="Comma 26 3 2 3 3 4" xfId="4467" xr:uid="{00000000-0005-0000-0000-0000D20C0000}"/>
    <cellStyle name="Comma 26 3 2 3 3 4 2" xfId="9914" xr:uid="{00000000-0005-0000-0000-0000D30C0000}"/>
    <cellStyle name="Comma 26 3 2 3 3 5" xfId="7256" xr:uid="{00000000-0005-0000-0000-0000D40C0000}"/>
    <cellStyle name="Comma 26 3 2 3 4" xfId="1692" xr:uid="{00000000-0005-0000-0000-0000D50C0000}"/>
    <cellStyle name="Comma 26 3 2 3 4 2" xfId="5041" xr:uid="{00000000-0005-0000-0000-0000D60C0000}"/>
    <cellStyle name="Comma 26 3 2 3 4 2 2" xfId="10355" xr:uid="{00000000-0005-0000-0000-0000D70C0000}"/>
    <cellStyle name="Comma 26 3 2 3 4 3" xfId="7697" xr:uid="{00000000-0005-0000-0000-0000D80C0000}"/>
    <cellStyle name="Comma 26 3 2 3 5" xfId="2613" xr:uid="{00000000-0005-0000-0000-0000D90C0000}"/>
    <cellStyle name="Comma 26 3 2 3 5 2" xfId="5918" xr:uid="{00000000-0005-0000-0000-0000DA0C0000}"/>
    <cellStyle name="Comma 26 3 2 3 5 2 2" xfId="11232" xr:uid="{00000000-0005-0000-0000-0000DB0C0000}"/>
    <cellStyle name="Comma 26 3 2 3 5 3" xfId="8574" xr:uid="{00000000-0005-0000-0000-0000DC0C0000}"/>
    <cellStyle name="Comma 26 3 2 3 6" xfId="3782" xr:uid="{00000000-0005-0000-0000-0000DD0C0000}"/>
    <cellStyle name="Comma 26 3 2 3 6 2" xfId="9478" xr:uid="{00000000-0005-0000-0000-0000DE0C0000}"/>
    <cellStyle name="Comma 26 3 2 3 7" xfId="6820" xr:uid="{00000000-0005-0000-0000-0000DF0C0000}"/>
    <cellStyle name="Comma 26 3 2 4" xfId="562" xr:uid="{00000000-0005-0000-0000-0000E00C0000}"/>
    <cellStyle name="Comma 26 3 2 4 2" xfId="1249" xr:uid="{00000000-0005-0000-0000-0000E10C0000}"/>
    <cellStyle name="Comma 26 3 2 4 2 2" xfId="2241" xr:uid="{00000000-0005-0000-0000-0000E20C0000}"/>
    <cellStyle name="Comma 26 3 2 4 2 2 2" xfId="5588" xr:uid="{00000000-0005-0000-0000-0000E30C0000}"/>
    <cellStyle name="Comma 26 3 2 4 2 2 2 2" xfId="10902" xr:uid="{00000000-0005-0000-0000-0000E40C0000}"/>
    <cellStyle name="Comma 26 3 2 4 2 2 3" xfId="8244" xr:uid="{00000000-0005-0000-0000-0000E50C0000}"/>
    <cellStyle name="Comma 26 3 2 4 2 3" xfId="3162" xr:uid="{00000000-0005-0000-0000-0000E60C0000}"/>
    <cellStyle name="Comma 26 3 2 4 2 3 2" xfId="6465" xr:uid="{00000000-0005-0000-0000-0000E70C0000}"/>
    <cellStyle name="Comma 26 3 2 4 2 3 2 2" xfId="11779" xr:uid="{00000000-0005-0000-0000-0000E80C0000}"/>
    <cellStyle name="Comma 26 3 2 4 2 3 3" xfId="9121" xr:uid="{00000000-0005-0000-0000-0000E90C0000}"/>
    <cellStyle name="Comma 26 3 2 4 2 4" xfId="4641" xr:uid="{00000000-0005-0000-0000-0000EA0C0000}"/>
    <cellStyle name="Comma 26 3 2 4 2 4 2" xfId="10025" xr:uid="{00000000-0005-0000-0000-0000EB0C0000}"/>
    <cellStyle name="Comma 26 3 2 4 2 5" xfId="7367" xr:uid="{00000000-0005-0000-0000-0000EC0C0000}"/>
    <cellStyle name="Comma 26 3 2 4 3" xfId="1803" xr:uid="{00000000-0005-0000-0000-0000ED0C0000}"/>
    <cellStyle name="Comma 26 3 2 4 3 2" xfId="5152" xr:uid="{00000000-0005-0000-0000-0000EE0C0000}"/>
    <cellStyle name="Comma 26 3 2 4 3 2 2" xfId="10466" xr:uid="{00000000-0005-0000-0000-0000EF0C0000}"/>
    <cellStyle name="Comma 26 3 2 4 3 3" xfId="7808" xr:uid="{00000000-0005-0000-0000-0000F00C0000}"/>
    <cellStyle name="Comma 26 3 2 4 4" xfId="2724" xr:uid="{00000000-0005-0000-0000-0000F10C0000}"/>
    <cellStyle name="Comma 26 3 2 4 4 2" xfId="6029" xr:uid="{00000000-0005-0000-0000-0000F20C0000}"/>
    <cellStyle name="Comma 26 3 2 4 4 2 2" xfId="11343" xr:uid="{00000000-0005-0000-0000-0000F30C0000}"/>
    <cellStyle name="Comma 26 3 2 4 4 3" xfId="8685" xr:uid="{00000000-0005-0000-0000-0000F40C0000}"/>
    <cellStyle name="Comma 26 3 2 4 5" xfId="3956" xr:uid="{00000000-0005-0000-0000-0000F50C0000}"/>
    <cellStyle name="Comma 26 3 2 4 5 2" xfId="9589" xr:uid="{00000000-0005-0000-0000-0000F60C0000}"/>
    <cellStyle name="Comma 26 3 2 4 6" xfId="6931" xr:uid="{00000000-0005-0000-0000-0000F70C0000}"/>
    <cellStyle name="Comma 26 3 2 5" xfId="927" xr:uid="{00000000-0005-0000-0000-0000F80C0000}"/>
    <cellStyle name="Comma 26 3 2 5 2" xfId="2041" xr:uid="{00000000-0005-0000-0000-0000F90C0000}"/>
    <cellStyle name="Comma 26 3 2 5 2 2" xfId="5388" xr:uid="{00000000-0005-0000-0000-0000FA0C0000}"/>
    <cellStyle name="Comma 26 3 2 5 2 2 2" xfId="10702" xr:uid="{00000000-0005-0000-0000-0000FB0C0000}"/>
    <cellStyle name="Comma 26 3 2 5 2 3" xfId="8044" xr:uid="{00000000-0005-0000-0000-0000FC0C0000}"/>
    <cellStyle name="Comma 26 3 2 5 3" xfId="2962" xr:uid="{00000000-0005-0000-0000-0000FD0C0000}"/>
    <cellStyle name="Comma 26 3 2 5 3 2" xfId="6265" xr:uid="{00000000-0005-0000-0000-0000FE0C0000}"/>
    <cellStyle name="Comma 26 3 2 5 3 2 2" xfId="11579" xr:uid="{00000000-0005-0000-0000-0000FF0C0000}"/>
    <cellStyle name="Comma 26 3 2 5 3 3" xfId="8921" xr:uid="{00000000-0005-0000-0000-0000000D0000}"/>
    <cellStyle name="Comma 26 3 2 5 4" xfId="4319" xr:uid="{00000000-0005-0000-0000-0000010D0000}"/>
    <cellStyle name="Comma 26 3 2 5 4 2" xfId="9825" xr:uid="{00000000-0005-0000-0000-0000020D0000}"/>
    <cellStyle name="Comma 26 3 2 5 5" xfId="7167" xr:uid="{00000000-0005-0000-0000-0000030D0000}"/>
    <cellStyle name="Comma 26 3 2 6" xfId="1596" xr:uid="{00000000-0005-0000-0000-0000040D0000}"/>
    <cellStyle name="Comma 26 3 2 6 2" xfId="4952" xr:uid="{00000000-0005-0000-0000-0000050D0000}"/>
    <cellStyle name="Comma 26 3 2 6 2 2" xfId="10266" xr:uid="{00000000-0005-0000-0000-0000060D0000}"/>
    <cellStyle name="Comma 26 3 2 6 3" xfId="7608" xr:uid="{00000000-0005-0000-0000-0000070D0000}"/>
    <cellStyle name="Comma 26 3 2 7" xfId="2518" xr:uid="{00000000-0005-0000-0000-0000080D0000}"/>
    <cellStyle name="Comma 26 3 2 7 2" xfId="5829" xr:uid="{00000000-0005-0000-0000-0000090D0000}"/>
    <cellStyle name="Comma 26 3 2 7 2 2" xfId="11143" xr:uid="{00000000-0005-0000-0000-00000A0D0000}"/>
    <cellStyle name="Comma 26 3 2 7 3" xfId="8485" xr:uid="{00000000-0005-0000-0000-00000B0D0000}"/>
    <cellStyle name="Comma 26 3 2 8" xfId="3634" xr:uid="{00000000-0005-0000-0000-00000C0D0000}"/>
    <cellStyle name="Comma 26 3 2 8 2" xfId="9389" xr:uid="{00000000-0005-0000-0000-00000D0D0000}"/>
    <cellStyle name="Comma 26 3 2 9" xfId="6726" xr:uid="{00000000-0005-0000-0000-00000E0D0000}"/>
    <cellStyle name="Comma 26 3 3" xfId="190" xr:uid="{00000000-0005-0000-0000-00000F0D0000}"/>
    <cellStyle name="Comma 26 3 3 2" xfId="390" xr:uid="{00000000-0005-0000-0000-0000100D0000}"/>
    <cellStyle name="Comma 26 3 3 2 2" xfId="713" xr:uid="{00000000-0005-0000-0000-0000110D0000}"/>
    <cellStyle name="Comma 26 3 3 2 2 2" xfId="1400" xr:uid="{00000000-0005-0000-0000-0000120D0000}"/>
    <cellStyle name="Comma 26 3 3 2 2 2 2" xfId="2333" xr:uid="{00000000-0005-0000-0000-0000130D0000}"/>
    <cellStyle name="Comma 26 3 3 2 2 2 2 2" xfId="5680" xr:uid="{00000000-0005-0000-0000-0000140D0000}"/>
    <cellStyle name="Comma 26 3 3 2 2 2 2 2 2" xfId="10994" xr:uid="{00000000-0005-0000-0000-0000150D0000}"/>
    <cellStyle name="Comma 26 3 3 2 2 2 2 3" xfId="8336" xr:uid="{00000000-0005-0000-0000-0000160D0000}"/>
    <cellStyle name="Comma 26 3 3 2 2 2 3" xfId="3254" xr:uid="{00000000-0005-0000-0000-0000170D0000}"/>
    <cellStyle name="Comma 26 3 3 2 2 2 3 2" xfId="6557" xr:uid="{00000000-0005-0000-0000-0000180D0000}"/>
    <cellStyle name="Comma 26 3 3 2 2 2 3 2 2" xfId="11871" xr:uid="{00000000-0005-0000-0000-0000190D0000}"/>
    <cellStyle name="Comma 26 3 3 2 2 2 3 3" xfId="9213" xr:uid="{00000000-0005-0000-0000-00001A0D0000}"/>
    <cellStyle name="Comma 26 3 3 2 2 2 4" xfId="4792" xr:uid="{00000000-0005-0000-0000-00001B0D0000}"/>
    <cellStyle name="Comma 26 3 3 2 2 2 4 2" xfId="10117" xr:uid="{00000000-0005-0000-0000-00001C0D0000}"/>
    <cellStyle name="Comma 26 3 3 2 2 2 5" xfId="7459" xr:uid="{00000000-0005-0000-0000-00001D0D0000}"/>
    <cellStyle name="Comma 26 3 3 2 2 3" xfId="1895" xr:uid="{00000000-0005-0000-0000-00001E0D0000}"/>
    <cellStyle name="Comma 26 3 3 2 2 3 2" xfId="5244" xr:uid="{00000000-0005-0000-0000-00001F0D0000}"/>
    <cellStyle name="Comma 26 3 3 2 2 3 2 2" xfId="10558" xr:uid="{00000000-0005-0000-0000-0000200D0000}"/>
    <cellStyle name="Comma 26 3 3 2 2 3 3" xfId="7900" xr:uid="{00000000-0005-0000-0000-0000210D0000}"/>
    <cellStyle name="Comma 26 3 3 2 2 4" xfId="2816" xr:uid="{00000000-0005-0000-0000-0000220D0000}"/>
    <cellStyle name="Comma 26 3 3 2 2 4 2" xfId="6121" xr:uid="{00000000-0005-0000-0000-0000230D0000}"/>
    <cellStyle name="Comma 26 3 3 2 2 4 2 2" xfId="11435" xr:uid="{00000000-0005-0000-0000-0000240D0000}"/>
    <cellStyle name="Comma 26 3 3 2 2 4 3" xfId="8777" xr:uid="{00000000-0005-0000-0000-0000250D0000}"/>
    <cellStyle name="Comma 26 3 3 2 2 5" xfId="4107" xr:uid="{00000000-0005-0000-0000-0000260D0000}"/>
    <cellStyle name="Comma 26 3 3 2 2 5 2" xfId="9681" xr:uid="{00000000-0005-0000-0000-0000270D0000}"/>
    <cellStyle name="Comma 26 3 3 2 2 6" xfId="7023" xr:uid="{00000000-0005-0000-0000-0000280D0000}"/>
    <cellStyle name="Comma 26 3 3 2 3" xfId="1078" xr:uid="{00000000-0005-0000-0000-0000290D0000}"/>
    <cellStyle name="Comma 26 3 3 2 3 2" xfId="2133" xr:uid="{00000000-0005-0000-0000-00002A0D0000}"/>
    <cellStyle name="Comma 26 3 3 2 3 2 2" xfId="5480" xr:uid="{00000000-0005-0000-0000-00002B0D0000}"/>
    <cellStyle name="Comma 26 3 3 2 3 2 2 2" xfId="10794" xr:uid="{00000000-0005-0000-0000-00002C0D0000}"/>
    <cellStyle name="Comma 26 3 3 2 3 2 3" xfId="8136" xr:uid="{00000000-0005-0000-0000-00002D0D0000}"/>
    <cellStyle name="Comma 26 3 3 2 3 3" xfId="3054" xr:uid="{00000000-0005-0000-0000-00002E0D0000}"/>
    <cellStyle name="Comma 26 3 3 2 3 3 2" xfId="6357" xr:uid="{00000000-0005-0000-0000-00002F0D0000}"/>
    <cellStyle name="Comma 26 3 3 2 3 3 2 2" xfId="11671" xr:uid="{00000000-0005-0000-0000-0000300D0000}"/>
    <cellStyle name="Comma 26 3 3 2 3 3 3" xfId="9013" xr:uid="{00000000-0005-0000-0000-0000310D0000}"/>
    <cellStyle name="Comma 26 3 3 2 3 4" xfId="4470" xr:uid="{00000000-0005-0000-0000-0000320D0000}"/>
    <cellStyle name="Comma 26 3 3 2 3 4 2" xfId="9917" xr:uid="{00000000-0005-0000-0000-0000330D0000}"/>
    <cellStyle name="Comma 26 3 3 2 3 5" xfId="7259" xr:uid="{00000000-0005-0000-0000-0000340D0000}"/>
    <cellStyle name="Comma 26 3 3 2 4" xfId="1695" xr:uid="{00000000-0005-0000-0000-0000350D0000}"/>
    <cellStyle name="Comma 26 3 3 2 4 2" xfId="5044" xr:uid="{00000000-0005-0000-0000-0000360D0000}"/>
    <cellStyle name="Comma 26 3 3 2 4 2 2" xfId="10358" xr:uid="{00000000-0005-0000-0000-0000370D0000}"/>
    <cellStyle name="Comma 26 3 3 2 4 3" xfId="7700" xr:uid="{00000000-0005-0000-0000-0000380D0000}"/>
    <cellStyle name="Comma 26 3 3 2 5" xfId="2616" xr:uid="{00000000-0005-0000-0000-0000390D0000}"/>
    <cellStyle name="Comma 26 3 3 2 5 2" xfId="5921" xr:uid="{00000000-0005-0000-0000-00003A0D0000}"/>
    <cellStyle name="Comma 26 3 3 2 5 2 2" xfId="11235" xr:uid="{00000000-0005-0000-0000-00003B0D0000}"/>
    <cellStyle name="Comma 26 3 3 2 5 3" xfId="8577" xr:uid="{00000000-0005-0000-0000-00003C0D0000}"/>
    <cellStyle name="Comma 26 3 3 2 6" xfId="3785" xr:uid="{00000000-0005-0000-0000-00003D0D0000}"/>
    <cellStyle name="Comma 26 3 3 2 6 2" xfId="9481" xr:uid="{00000000-0005-0000-0000-00003E0D0000}"/>
    <cellStyle name="Comma 26 3 3 2 7" xfId="6823" xr:uid="{00000000-0005-0000-0000-00003F0D0000}"/>
    <cellStyle name="Comma 26 3 3 3" xfId="565" xr:uid="{00000000-0005-0000-0000-0000400D0000}"/>
    <cellStyle name="Comma 26 3 3 3 2" xfId="1252" xr:uid="{00000000-0005-0000-0000-0000410D0000}"/>
    <cellStyle name="Comma 26 3 3 3 2 2" xfId="2244" xr:uid="{00000000-0005-0000-0000-0000420D0000}"/>
    <cellStyle name="Comma 26 3 3 3 2 2 2" xfId="5591" xr:uid="{00000000-0005-0000-0000-0000430D0000}"/>
    <cellStyle name="Comma 26 3 3 3 2 2 2 2" xfId="10905" xr:uid="{00000000-0005-0000-0000-0000440D0000}"/>
    <cellStyle name="Comma 26 3 3 3 2 2 3" xfId="8247" xr:uid="{00000000-0005-0000-0000-0000450D0000}"/>
    <cellStyle name="Comma 26 3 3 3 2 3" xfId="3165" xr:uid="{00000000-0005-0000-0000-0000460D0000}"/>
    <cellStyle name="Comma 26 3 3 3 2 3 2" xfId="6468" xr:uid="{00000000-0005-0000-0000-0000470D0000}"/>
    <cellStyle name="Comma 26 3 3 3 2 3 2 2" xfId="11782" xr:uid="{00000000-0005-0000-0000-0000480D0000}"/>
    <cellStyle name="Comma 26 3 3 3 2 3 3" xfId="9124" xr:uid="{00000000-0005-0000-0000-0000490D0000}"/>
    <cellStyle name="Comma 26 3 3 3 2 4" xfId="4644" xr:uid="{00000000-0005-0000-0000-00004A0D0000}"/>
    <cellStyle name="Comma 26 3 3 3 2 4 2" xfId="10028" xr:uid="{00000000-0005-0000-0000-00004B0D0000}"/>
    <cellStyle name="Comma 26 3 3 3 2 5" xfId="7370" xr:uid="{00000000-0005-0000-0000-00004C0D0000}"/>
    <cellStyle name="Comma 26 3 3 3 3" xfId="1806" xr:uid="{00000000-0005-0000-0000-00004D0D0000}"/>
    <cellStyle name="Comma 26 3 3 3 3 2" xfId="5155" xr:uid="{00000000-0005-0000-0000-00004E0D0000}"/>
    <cellStyle name="Comma 26 3 3 3 3 2 2" xfId="10469" xr:uid="{00000000-0005-0000-0000-00004F0D0000}"/>
    <cellStyle name="Comma 26 3 3 3 3 3" xfId="7811" xr:uid="{00000000-0005-0000-0000-0000500D0000}"/>
    <cellStyle name="Comma 26 3 3 3 4" xfId="2727" xr:uid="{00000000-0005-0000-0000-0000510D0000}"/>
    <cellStyle name="Comma 26 3 3 3 4 2" xfId="6032" xr:uid="{00000000-0005-0000-0000-0000520D0000}"/>
    <cellStyle name="Comma 26 3 3 3 4 2 2" xfId="11346" xr:uid="{00000000-0005-0000-0000-0000530D0000}"/>
    <cellStyle name="Comma 26 3 3 3 4 3" xfId="8688" xr:uid="{00000000-0005-0000-0000-0000540D0000}"/>
    <cellStyle name="Comma 26 3 3 3 5" xfId="3959" xr:uid="{00000000-0005-0000-0000-0000550D0000}"/>
    <cellStyle name="Comma 26 3 3 3 5 2" xfId="9592" xr:uid="{00000000-0005-0000-0000-0000560D0000}"/>
    <cellStyle name="Comma 26 3 3 3 6" xfId="6934" xr:uid="{00000000-0005-0000-0000-0000570D0000}"/>
    <cellStyle name="Comma 26 3 3 4" xfId="930" xr:uid="{00000000-0005-0000-0000-0000580D0000}"/>
    <cellStyle name="Comma 26 3 3 4 2" xfId="2044" xr:uid="{00000000-0005-0000-0000-0000590D0000}"/>
    <cellStyle name="Comma 26 3 3 4 2 2" xfId="5391" xr:uid="{00000000-0005-0000-0000-00005A0D0000}"/>
    <cellStyle name="Comma 26 3 3 4 2 2 2" xfId="10705" xr:uid="{00000000-0005-0000-0000-00005B0D0000}"/>
    <cellStyle name="Comma 26 3 3 4 2 3" xfId="8047" xr:uid="{00000000-0005-0000-0000-00005C0D0000}"/>
    <cellStyle name="Comma 26 3 3 4 3" xfId="2965" xr:uid="{00000000-0005-0000-0000-00005D0D0000}"/>
    <cellStyle name="Comma 26 3 3 4 3 2" xfId="6268" xr:uid="{00000000-0005-0000-0000-00005E0D0000}"/>
    <cellStyle name="Comma 26 3 3 4 3 2 2" xfId="11582" xr:uid="{00000000-0005-0000-0000-00005F0D0000}"/>
    <cellStyle name="Comma 26 3 3 4 3 3" xfId="8924" xr:uid="{00000000-0005-0000-0000-0000600D0000}"/>
    <cellStyle name="Comma 26 3 3 4 4" xfId="4322" xr:uid="{00000000-0005-0000-0000-0000610D0000}"/>
    <cellStyle name="Comma 26 3 3 4 4 2" xfId="9828" xr:uid="{00000000-0005-0000-0000-0000620D0000}"/>
    <cellStyle name="Comma 26 3 3 4 5" xfId="7170" xr:uid="{00000000-0005-0000-0000-0000630D0000}"/>
    <cellStyle name="Comma 26 3 3 5" xfId="1600" xr:uid="{00000000-0005-0000-0000-0000640D0000}"/>
    <cellStyle name="Comma 26 3 3 5 2" xfId="4955" xr:uid="{00000000-0005-0000-0000-0000650D0000}"/>
    <cellStyle name="Comma 26 3 3 5 2 2" xfId="10269" xr:uid="{00000000-0005-0000-0000-0000660D0000}"/>
    <cellStyle name="Comma 26 3 3 5 3" xfId="7611" xr:uid="{00000000-0005-0000-0000-0000670D0000}"/>
    <cellStyle name="Comma 26 3 3 6" xfId="2522" xr:uid="{00000000-0005-0000-0000-0000680D0000}"/>
    <cellStyle name="Comma 26 3 3 6 2" xfId="5832" xr:uid="{00000000-0005-0000-0000-0000690D0000}"/>
    <cellStyle name="Comma 26 3 3 6 2 2" xfId="11146" xr:uid="{00000000-0005-0000-0000-00006A0D0000}"/>
    <cellStyle name="Comma 26 3 3 6 3" xfId="8488" xr:uid="{00000000-0005-0000-0000-00006B0D0000}"/>
    <cellStyle name="Comma 26 3 3 7" xfId="3637" xr:uid="{00000000-0005-0000-0000-00006C0D0000}"/>
    <cellStyle name="Comma 26 3 3 7 2" xfId="9392" xr:uid="{00000000-0005-0000-0000-00006D0D0000}"/>
    <cellStyle name="Comma 26 3 3 8" xfId="6729" xr:uid="{00000000-0005-0000-0000-00006E0D0000}"/>
    <cellStyle name="Comma 26 3 4" xfId="213" xr:uid="{00000000-0005-0000-0000-00006F0D0000}"/>
    <cellStyle name="Comma 26 3 4 2" xfId="408" xr:uid="{00000000-0005-0000-0000-0000700D0000}"/>
    <cellStyle name="Comma 26 3 4 2 2" xfId="731" xr:uid="{00000000-0005-0000-0000-0000710D0000}"/>
    <cellStyle name="Comma 26 3 4 2 2 2" xfId="1418" xr:uid="{00000000-0005-0000-0000-0000720D0000}"/>
    <cellStyle name="Comma 26 3 4 2 2 2 2" xfId="2350" xr:uid="{00000000-0005-0000-0000-0000730D0000}"/>
    <cellStyle name="Comma 26 3 4 2 2 2 2 2" xfId="5697" xr:uid="{00000000-0005-0000-0000-0000740D0000}"/>
    <cellStyle name="Comma 26 3 4 2 2 2 2 2 2" xfId="11011" xr:uid="{00000000-0005-0000-0000-0000750D0000}"/>
    <cellStyle name="Comma 26 3 4 2 2 2 2 3" xfId="8353" xr:uid="{00000000-0005-0000-0000-0000760D0000}"/>
    <cellStyle name="Comma 26 3 4 2 2 2 3" xfId="3271" xr:uid="{00000000-0005-0000-0000-0000770D0000}"/>
    <cellStyle name="Comma 26 3 4 2 2 2 3 2" xfId="6574" xr:uid="{00000000-0005-0000-0000-0000780D0000}"/>
    <cellStyle name="Comma 26 3 4 2 2 2 3 2 2" xfId="11888" xr:uid="{00000000-0005-0000-0000-0000790D0000}"/>
    <cellStyle name="Comma 26 3 4 2 2 2 3 3" xfId="9230" xr:uid="{00000000-0005-0000-0000-00007A0D0000}"/>
    <cellStyle name="Comma 26 3 4 2 2 2 4" xfId="4810" xr:uid="{00000000-0005-0000-0000-00007B0D0000}"/>
    <cellStyle name="Comma 26 3 4 2 2 2 4 2" xfId="10134" xr:uid="{00000000-0005-0000-0000-00007C0D0000}"/>
    <cellStyle name="Comma 26 3 4 2 2 2 5" xfId="7476" xr:uid="{00000000-0005-0000-0000-00007D0D0000}"/>
    <cellStyle name="Comma 26 3 4 2 2 3" xfId="1912" xr:uid="{00000000-0005-0000-0000-00007E0D0000}"/>
    <cellStyle name="Comma 26 3 4 2 2 3 2" xfId="5261" xr:uid="{00000000-0005-0000-0000-00007F0D0000}"/>
    <cellStyle name="Comma 26 3 4 2 2 3 2 2" xfId="10575" xr:uid="{00000000-0005-0000-0000-0000800D0000}"/>
    <cellStyle name="Comma 26 3 4 2 2 3 3" xfId="7917" xr:uid="{00000000-0005-0000-0000-0000810D0000}"/>
    <cellStyle name="Comma 26 3 4 2 2 4" xfId="2833" xr:uid="{00000000-0005-0000-0000-0000820D0000}"/>
    <cellStyle name="Comma 26 3 4 2 2 4 2" xfId="6138" xr:uid="{00000000-0005-0000-0000-0000830D0000}"/>
    <cellStyle name="Comma 26 3 4 2 2 4 2 2" xfId="11452" xr:uid="{00000000-0005-0000-0000-0000840D0000}"/>
    <cellStyle name="Comma 26 3 4 2 2 4 3" xfId="8794" xr:uid="{00000000-0005-0000-0000-0000850D0000}"/>
    <cellStyle name="Comma 26 3 4 2 2 5" xfId="4125" xr:uid="{00000000-0005-0000-0000-0000860D0000}"/>
    <cellStyle name="Comma 26 3 4 2 2 5 2" xfId="9698" xr:uid="{00000000-0005-0000-0000-0000870D0000}"/>
    <cellStyle name="Comma 26 3 4 2 2 6" xfId="7040" xr:uid="{00000000-0005-0000-0000-0000880D0000}"/>
    <cellStyle name="Comma 26 3 4 2 3" xfId="1096" xr:uid="{00000000-0005-0000-0000-0000890D0000}"/>
    <cellStyle name="Comma 26 3 4 2 3 2" xfId="2150" xr:uid="{00000000-0005-0000-0000-00008A0D0000}"/>
    <cellStyle name="Comma 26 3 4 2 3 2 2" xfId="5497" xr:uid="{00000000-0005-0000-0000-00008B0D0000}"/>
    <cellStyle name="Comma 26 3 4 2 3 2 2 2" xfId="10811" xr:uid="{00000000-0005-0000-0000-00008C0D0000}"/>
    <cellStyle name="Comma 26 3 4 2 3 2 3" xfId="8153" xr:uid="{00000000-0005-0000-0000-00008D0D0000}"/>
    <cellStyle name="Comma 26 3 4 2 3 3" xfId="3071" xr:uid="{00000000-0005-0000-0000-00008E0D0000}"/>
    <cellStyle name="Comma 26 3 4 2 3 3 2" xfId="6374" xr:uid="{00000000-0005-0000-0000-00008F0D0000}"/>
    <cellStyle name="Comma 26 3 4 2 3 3 2 2" xfId="11688" xr:uid="{00000000-0005-0000-0000-0000900D0000}"/>
    <cellStyle name="Comma 26 3 4 2 3 3 3" xfId="9030" xr:uid="{00000000-0005-0000-0000-0000910D0000}"/>
    <cellStyle name="Comma 26 3 4 2 3 4" xfId="4488" xr:uid="{00000000-0005-0000-0000-0000920D0000}"/>
    <cellStyle name="Comma 26 3 4 2 3 4 2" xfId="9934" xr:uid="{00000000-0005-0000-0000-0000930D0000}"/>
    <cellStyle name="Comma 26 3 4 2 3 5" xfId="7276" xr:uid="{00000000-0005-0000-0000-0000940D0000}"/>
    <cellStyle name="Comma 26 3 4 2 4" xfId="1712" xr:uid="{00000000-0005-0000-0000-0000950D0000}"/>
    <cellStyle name="Comma 26 3 4 2 4 2" xfId="5061" xr:uid="{00000000-0005-0000-0000-0000960D0000}"/>
    <cellStyle name="Comma 26 3 4 2 4 2 2" xfId="10375" xr:uid="{00000000-0005-0000-0000-0000970D0000}"/>
    <cellStyle name="Comma 26 3 4 2 4 3" xfId="7717" xr:uid="{00000000-0005-0000-0000-0000980D0000}"/>
    <cellStyle name="Comma 26 3 4 2 5" xfId="2633" xr:uid="{00000000-0005-0000-0000-0000990D0000}"/>
    <cellStyle name="Comma 26 3 4 2 5 2" xfId="5938" xr:uid="{00000000-0005-0000-0000-00009A0D0000}"/>
    <cellStyle name="Comma 26 3 4 2 5 2 2" xfId="11252" xr:uid="{00000000-0005-0000-0000-00009B0D0000}"/>
    <cellStyle name="Comma 26 3 4 2 5 3" xfId="8594" xr:uid="{00000000-0005-0000-0000-00009C0D0000}"/>
    <cellStyle name="Comma 26 3 4 2 6" xfId="3803" xr:uid="{00000000-0005-0000-0000-00009D0D0000}"/>
    <cellStyle name="Comma 26 3 4 2 6 2" xfId="9498" xr:uid="{00000000-0005-0000-0000-00009E0D0000}"/>
    <cellStyle name="Comma 26 3 4 2 7" xfId="6840" xr:uid="{00000000-0005-0000-0000-00009F0D0000}"/>
    <cellStyle name="Comma 26 3 4 3" xfId="582" xr:uid="{00000000-0005-0000-0000-0000A00D0000}"/>
    <cellStyle name="Comma 26 3 4 3 2" xfId="1269" xr:uid="{00000000-0005-0000-0000-0000A10D0000}"/>
    <cellStyle name="Comma 26 3 4 3 2 2" xfId="2261" xr:uid="{00000000-0005-0000-0000-0000A20D0000}"/>
    <cellStyle name="Comma 26 3 4 3 2 2 2" xfId="5608" xr:uid="{00000000-0005-0000-0000-0000A30D0000}"/>
    <cellStyle name="Comma 26 3 4 3 2 2 2 2" xfId="10922" xr:uid="{00000000-0005-0000-0000-0000A40D0000}"/>
    <cellStyle name="Comma 26 3 4 3 2 2 3" xfId="8264" xr:uid="{00000000-0005-0000-0000-0000A50D0000}"/>
    <cellStyle name="Comma 26 3 4 3 2 3" xfId="3182" xr:uid="{00000000-0005-0000-0000-0000A60D0000}"/>
    <cellStyle name="Comma 26 3 4 3 2 3 2" xfId="6485" xr:uid="{00000000-0005-0000-0000-0000A70D0000}"/>
    <cellStyle name="Comma 26 3 4 3 2 3 2 2" xfId="11799" xr:uid="{00000000-0005-0000-0000-0000A80D0000}"/>
    <cellStyle name="Comma 26 3 4 3 2 3 3" xfId="9141" xr:uid="{00000000-0005-0000-0000-0000A90D0000}"/>
    <cellStyle name="Comma 26 3 4 3 2 4" xfId="4661" xr:uid="{00000000-0005-0000-0000-0000AA0D0000}"/>
    <cellStyle name="Comma 26 3 4 3 2 4 2" xfId="10045" xr:uid="{00000000-0005-0000-0000-0000AB0D0000}"/>
    <cellStyle name="Comma 26 3 4 3 2 5" xfId="7387" xr:uid="{00000000-0005-0000-0000-0000AC0D0000}"/>
    <cellStyle name="Comma 26 3 4 3 3" xfId="1823" xr:uid="{00000000-0005-0000-0000-0000AD0D0000}"/>
    <cellStyle name="Comma 26 3 4 3 3 2" xfId="5172" xr:uid="{00000000-0005-0000-0000-0000AE0D0000}"/>
    <cellStyle name="Comma 26 3 4 3 3 2 2" xfId="10486" xr:uid="{00000000-0005-0000-0000-0000AF0D0000}"/>
    <cellStyle name="Comma 26 3 4 3 3 3" xfId="7828" xr:uid="{00000000-0005-0000-0000-0000B00D0000}"/>
    <cellStyle name="Comma 26 3 4 3 4" xfId="2744" xr:uid="{00000000-0005-0000-0000-0000B10D0000}"/>
    <cellStyle name="Comma 26 3 4 3 4 2" xfId="6049" xr:uid="{00000000-0005-0000-0000-0000B20D0000}"/>
    <cellStyle name="Comma 26 3 4 3 4 2 2" xfId="11363" xr:uid="{00000000-0005-0000-0000-0000B30D0000}"/>
    <cellStyle name="Comma 26 3 4 3 4 3" xfId="8705" xr:uid="{00000000-0005-0000-0000-0000B40D0000}"/>
    <cellStyle name="Comma 26 3 4 3 5" xfId="3976" xr:uid="{00000000-0005-0000-0000-0000B50D0000}"/>
    <cellStyle name="Comma 26 3 4 3 5 2" xfId="9609" xr:uid="{00000000-0005-0000-0000-0000B60D0000}"/>
    <cellStyle name="Comma 26 3 4 3 6" xfId="6951" xr:uid="{00000000-0005-0000-0000-0000B70D0000}"/>
    <cellStyle name="Comma 26 3 4 4" xfId="947" xr:uid="{00000000-0005-0000-0000-0000B80D0000}"/>
    <cellStyle name="Comma 26 3 4 4 2" xfId="2061" xr:uid="{00000000-0005-0000-0000-0000B90D0000}"/>
    <cellStyle name="Comma 26 3 4 4 2 2" xfId="5408" xr:uid="{00000000-0005-0000-0000-0000BA0D0000}"/>
    <cellStyle name="Comma 26 3 4 4 2 2 2" xfId="10722" xr:uid="{00000000-0005-0000-0000-0000BB0D0000}"/>
    <cellStyle name="Comma 26 3 4 4 2 3" xfId="8064" xr:uid="{00000000-0005-0000-0000-0000BC0D0000}"/>
    <cellStyle name="Comma 26 3 4 4 3" xfId="2982" xr:uid="{00000000-0005-0000-0000-0000BD0D0000}"/>
    <cellStyle name="Comma 26 3 4 4 3 2" xfId="6285" xr:uid="{00000000-0005-0000-0000-0000BE0D0000}"/>
    <cellStyle name="Comma 26 3 4 4 3 2 2" xfId="11599" xr:uid="{00000000-0005-0000-0000-0000BF0D0000}"/>
    <cellStyle name="Comma 26 3 4 4 3 3" xfId="8941" xr:uid="{00000000-0005-0000-0000-0000C00D0000}"/>
    <cellStyle name="Comma 26 3 4 4 4" xfId="4339" xr:uid="{00000000-0005-0000-0000-0000C10D0000}"/>
    <cellStyle name="Comma 26 3 4 4 4 2" xfId="9845" xr:uid="{00000000-0005-0000-0000-0000C20D0000}"/>
    <cellStyle name="Comma 26 3 4 4 5" xfId="7187" xr:uid="{00000000-0005-0000-0000-0000C30D0000}"/>
    <cellStyle name="Comma 26 3 4 5" xfId="1622" xr:uid="{00000000-0005-0000-0000-0000C40D0000}"/>
    <cellStyle name="Comma 26 3 4 5 2" xfId="4972" xr:uid="{00000000-0005-0000-0000-0000C50D0000}"/>
    <cellStyle name="Comma 26 3 4 5 2 2" xfId="10286" xr:uid="{00000000-0005-0000-0000-0000C60D0000}"/>
    <cellStyle name="Comma 26 3 4 5 3" xfId="7628" xr:uid="{00000000-0005-0000-0000-0000C70D0000}"/>
    <cellStyle name="Comma 26 3 4 6" xfId="2543" xr:uid="{00000000-0005-0000-0000-0000C80D0000}"/>
    <cellStyle name="Comma 26 3 4 6 2" xfId="5849" xr:uid="{00000000-0005-0000-0000-0000C90D0000}"/>
    <cellStyle name="Comma 26 3 4 6 2 2" xfId="11163" xr:uid="{00000000-0005-0000-0000-0000CA0D0000}"/>
    <cellStyle name="Comma 26 3 4 6 3" xfId="8505" xr:uid="{00000000-0005-0000-0000-0000CB0D0000}"/>
    <cellStyle name="Comma 26 3 4 7" xfId="3654" xr:uid="{00000000-0005-0000-0000-0000CC0D0000}"/>
    <cellStyle name="Comma 26 3 4 7 2" xfId="9409" xr:uid="{00000000-0005-0000-0000-0000CD0D0000}"/>
    <cellStyle name="Comma 26 3 4 8" xfId="6746" xr:uid="{00000000-0005-0000-0000-0000CE0D0000}"/>
    <cellStyle name="Comma 26 3 5" xfId="317" xr:uid="{00000000-0005-0000-0000-0000CF0D0000}"/>
    <cellStyle name="Comma 26 3 5 2" xfId="640" xr:uid="{00000000-0005-0000-0000-0000D00D0000}"/>
    <cellStyle name="Comma 26 3 5 2 2" xfId="1327" xr:uid="{00000000-0005-0000-0000-0000D10D0000}"/>
    <cellStyle name="Comma 26 3 5 2 2 2" xfId="2317" xr:uid="{00000000-0005-0000-0000-0000D20D0000}"/>
    <cellStyle name="Comma 26 3 5 2 2 2 2" xfId="5664" xr:uid="{00000000-0005-0000-0000-0000D30D0000}"/>
    <cellStyle name="Comma 26 3 5 2 2 2 2 2" xfId="10978" xr:uid="{00000000-0005-0000-0000-0000D40D0000}"/>
    <cellStyle name="Comma 26 3 5 2 2 2 3" xfId="8320" xr:uid="{00000000-0005-0000-0000-0000D50D0000}"/>
    <cellStyle name="Comma 26 3 5 2 2 3" xfId="3238" xr:uid="{00000000-0005-0000-0000-0000D60D0000}"/>
    <cellStyle name="Comma 26 3 5 2 2 3 2" xfId="6541" xr:uid="{00000000-0005-0000-0000-0000D70D0000}"/>
    <cellStyle name="Comma 26 3 5 2 2 3 2 2" xfId="11855" xr:uid="{00000000-0005-0000-0000-0000D80D0000}"/>
    <cellStyle name="Comma 26 3 5 2 2 3 3" xfId="9197" xr:uid="{00000000-0005-0000-0000-0000D90D0000}"/>
    <cellStyle name="Comma 26 3 5 2 2 4" xfId="4719" xr:uid="{00000000-0005-0000-0000-0000DA0D0000}"/>
    <cellStyle name="Comma 26 3 5 2 2 4 2" xfId="10101" xr:uid="{00000000-0005-0000-0000-0000DB0D0000}"/>
    <cellStyle name="Comma 26 3 5 2 2 5" xfId="7443" xr:uid="{00000000-0005-0000-0000-0000DC0D0000}"/>
    <cellStyle name="Comma 26 3 5 2 3" xfId="1879" xr:uid="{00000000-0005-0000-0000-0000DD0D0000}"/>
    <cellStyle name="Comma 26 3 5 2 3 2" xfId="5228" xr:uid="{00000000-0005-0000-0000-0000DE0D0000}"/>
    <cellStyle name="Comma 26 3 5 2 3 2 2" xfId="10542" xr:uid="{00000000-0005-0000-0000-0000DF0D0000}"/>
    <cellStyle name="Comma 26 3 5 2 3 3" xfId="7884" xr:uid="{00000000-0005-0000-0000-0000E00D0000}"/>
    <cellStyle name="Comma 26 3 5 2 4" xfId="2800" xr:uid="{00000000-0005-0000-0000-0000E10D0000}"/>
    <cellStyle name="Comma 26 3 5 2 4 2" xfId="6105" xr:uid="{00000000-0005-0000-0000-0000E20D0000}"/>
    <cellStyle name="Comma 26 3 5 2 4 2 2" xfId="11419" xr:uid="{00000000-0005-0000-0000-0000E30D0000}"/>
    <cellStyle name="Comma 26 3 5 2 4 3" xfId="8761" xr:uid="{00000000-0005-0000-0000-0000E40D0000}"/>
    <cellStyle name="Comma 26 3 5 2 5" xfId="4034" xr:uid="{00000000-0005-0000-0000-0000E50D0000}"/>
    <cellStyle name="Comma 26 3 5 2 5 2" xfId="9665" xr:uid="{00000000-0005-0000-0000-0000E60D0000}"/>
    <cellStyle name="Comma 26 3 5 2 6" xfId="7007" xr:uid="{00000000-0005-0000-0000-0000E70D0000}"/>
    <cellStyle name="Comma 26 3 5 3" xfId="1005" xr:uid="{00000000-0005-0000-0000-0000E80D0000}"/>
    <cellStyle name="Comma 26 3 5 3 2" xfId="2117" xr:uid="{00000000-0005-0000-0000-0000E90D0000}"/>
    <cellStyle name="Comma 26 3 5 3 2 2" xfId="5464" xr:uid="{00000000-0005-0000-0000-0000EA0D0000}"/>
    <cellStyle name="Comma 26 3 5 3 2 2 2" xfId="10778" xr:uid="{00000000-0005-0000-0000-0000EB0D0000}"/>
    <cellStyle name="Comma 26 3 5 3 2 3" xfId="8120" xr:uid="{00000000-0005-0000-0000-0000EC0D0000}"/>
    <cellStyle name="Comma 26 3 5 3 3" xfId="3038" xr:uid="{00000000-0005-0000-0000-0000ED0D0000}"/>
    <cellStyle name="Comma 26 3 5 3 3 2" xfId="6341" xr:uid="{00000000-0005-0000-0000-0000EE0D0000}"/>
    <cellStyle name="Comma 26 3 5 3 3 2 2" xfId="11655" xr:uid="{00000000-0005-0000-0000-0000EF0D0000}"/>
    <cellStyle name="Comma 26 3 5 3 3 3" xfId="8997" xr:uid="{00000000-0005-0000-0000-0000F00D0000}"/>
    <cellStyle name="Comma 26 3 5 3 4" xfId="4397" xr:uid="{00000000-0005-0000-0000-0000F10D0000}"/>
    <cellStyle name="Comma 26 3 5 3 4 2" xfId="9901" xr:uid="{00000000-0005-0000-0000-0000F20D0000}"/>
    <cellStyle name="Comma 26 3 5 3 5" xfId="7243" xr:uid="{00000000-0005-0000-0000-0000F30D0000}"/>
    <cellStyle name="Comma 26 3 5 4" xfId="1679" xr:uid="{00000000-0005-0000-0000-0000F40D0000}"/>
    <cellStyle name="Comma 26 3 5 4 2" xfId="5028" xr:uid="{00000000-0005-0000-0000-0000F50D0000}"/>
    <cellStyle name="Comma 26 3 5 4 2 2" xfId="10342" xr:uid="{00000000-0005-0000-0000-0000F60D0000}"/>
    <cellStyle name="Comma 26 3 5 4 3" xfId="7684" xr:uid="{00000000-0005-0000-0000-0000F70D0000}"/>
    <cellStyle name="Comma 26 3 5 5" xfId="2600" xr:uid="{00000000-0005-0000-0000-0000F80D0000}"/>
    <cellStyle name="Comma 26 3 5 5 2" xfId="5905" xr:uid="{00000000-0005-0000-0000-0000F90D0000}"/>
    <cellStyle name="Comma 26 3 5 5 2 2" xfId="11219" xr:uid="{00000000-0005-0000-0000-0000FA0D0000}"/>
    <cellStyle name="Comma 26 3 5 5 3" xfId="8561" xr:uid="{00000000-0005-0000-0000-0000FB0D0000}"/>
    <cellStyle name="Comma 26 3 5 6" xfId="3712" xr:uid="{00000000-0005-0000-0000-0000FC0D0000}"/>
    <cellStyle name="Comma 26 3 5 6 2" xfId="9465" xr:uid="{00000000-0005-0000-0000-0000FD0D0000}"/>
    <cellStyle name="Comma 26 3 5 7" xfId="6807" xr:uid="{00000000-0005-0000-0000-0000FE0D0000}"/>
    <cellStyle name="Comma 26 3 6" xfId="492" xr:uid="{00000000-0005-0000-0000-0000FF0D0000}"/>
    <cellStyle name="Comma 26 3 6 2" xfId="1179" xr:uid="{00000000-0005-0000-0000-0000000E0000}"/>
    <cellStyle name="Comma 26 3 6 2 2" xfId="2228" xr:uid="{00000000-0005-0000-0000-0000010E0000}"/>
    <cellStyle name="Comma 26 3 6 2 2 2" xfId="5575" xr:uid="{00000000-0005-0000-0000-0000020E0000}"/>
    <cellStyle name="Comma 26 3 6 2 2 2 2" xfId="10889" xr:uid="{00000000-0005-0000-0000-0000030E0000}"/>
    <cellStyle name="Comma 26 3 6 2 2 3" xfId="8231" xr:uid="{00000000-0005-0000-0000-0000040E0000}"/>
    <cellStyle name="Comma 26 3 6 2 3" xfId="3149" xr:uid="{00000000-0005-0000-0000-0000050E0000}"/>
    <cellStyle name="Comma 26 3 6 2 3 2" xfId="6452" xr:uid="{00000000-0005-0000-0000-0000060E0000}"/>
    <cellStyle name="Comma 26 3 6 2 3 2 2" xfId="11766" xr:uid="{00000000-0005-0000-0000-0000070E0000}"/>
    <cellStyle name="Comma 26 3 6 2 3 3" xfId="9108" xr:uid="{00000000-0005-0000-0000-0000080E0000}"/>
    <cellStyle name="Comma 26 3 6 2 4" xfId="4571" xr:uid="{00000000-0005-0000-0000-0000090E0000}"/>
    <cellStyle name="Comma 26 3 6 2 4 2" xfId="10012" xr:uid="{00000000-0005-0000-0000-00000A0E0000}"/>
    <cellStyle name="Comma 26 3 6 2 5" xfId="7354" xr:uid="{00000000-0005-0000-0000-00000B0E0000}"/>
    <cellStyle name="Comma 26 3 6 3" xfId="1790" xr:uid="{00000000-0005-0000-0000-00000C0E0000}"/>
    <cellStyle name="Comma 26 3 6 3 2" xfId="5139" xr:uid="{00000000-0005-0000-0000-00000D0E0000}"/>
    <cellStyle name="Comma 26 3 6 3 2 2" xfId="10453" xr:uid="{00000000-0005-0000-0000-00000E0E0000}"/>
    <cellStyle name="Comma 26 3 6 3 3" xfId="7795" xr:uid="{00000000-0005-0000-0000-00000F0E0000}"/>
    <cellStyle name="Comma 26 3 6 4" xfId="2711" xr:uid="{00000000-0005-0000-0000-0000100E0000}"/>
    <cellStyle name="Comma 26 3 6 4 2" xfId="6016" xr:uid="{00000000-0005-0000-0000-0000110E0000}"/>
    <cellStyle name="Comma 26 3 6 4 2 2" xfId="11330" xr:uid="{00000000-0005-0000-0000-0000120E0000}"/>
    <cellStyle name="Comma 26 3 6 4 3" xfId="8672" xr:uid="{00000000-0005-0000-0000-0000130E0000}"/>
    <cellStyle name="Comma 26 3 6 5" xfId="3886" xr:uid="{00000000-0005-0000-0000-0000140E0000}"/>
    <cellStyle name="Comma 26 3 6 5 2" xfId="9576" xr:uid="{00000000-0005-0000-0000-0000150E0000}"/>
    <cellStyle name="Comma 26 3 6 6" xfId="6918" xr:uid="{00000000-0005-0000-0000-0000160E0000}"/>
    <cellStyle name="Comma 26 3 7" xfId="857" xr:uid="{00000000-0005-0000-0000-0000170E0000}"/>
    <cellStyle name="Comma 26 3 7 2" xfId="2028" xr:uid="{00000000-0005-0000-0000-0000180E0000}"/>
    <cellStyle name="Comma 26 3 7 2 2" xfId="5375" xr:uid="{00000000-0005-0000-0000-0000190E0000}"/>
    <cellStyle name="Comma 26 3 7 2 2 2" xfId="10689" xr:uid="{00000000-0005-0000-0000-00001A0E0000}"/>
    <cellStyle name="Comma 26 3 7 2 3" xfId="8031" xr:uid="{00000000-0005-0000-0000-00001B0E0000}"/>
    <cellStyle name="Comma 26 3 7 3" xfId="2949" xr:uid="{00000000-0005-0000-0000-00001C0E0000}"/>
    <cellStyle name="Comma 26 3 7 3 2" xfId="6252" xr:uid="{00000000-0005-0000-0000-00001D0E0000}"/>
    <cellStyle name="Comma 26 3 7 3 2 2" xfId="11566" xr:uid="{00000000-0005-0000-0000-00001E0E0000}"/>
    <cellStyle name="Comma 26 3 7 3 3" xfId="8908" xr:uid="{00000000-0005-0000-0000-00001F0E0000}"/>
    <cellStyle name="Comma 26 3 7 4" xfId="4249" xr:uid="{00000000-0005-0000-0000-0000200E0000}"/>
    <cellStyle name="Comma 26 3 7 4 2" xfId="9812" xr:uid="{00000000-0005-0000-0000-0000210E0000}"/>
    <cellStyle name="Comma 26 3 7 5" xfId="7154" xr:uid="{00000000-0005-0000-0000-0000220E0000}"/>
    <cellStyle name="Comma 26 3 8" xfId="1552" xr:uid="{00000000-0005-0000-0000-0000230E0000}"/>
    <cellStyle name="Comma 26 3 8 2" xfId="4939" xr:uid="{00000000-0005-0000-0000-0000240E0000}"/>
    <cellStyle name="Comma 26 3 8 2 2" xfId="10253" xr:uid="{00000000-0005-0000-0000-0000250E0000}"/>
    <cellStyle name="Comma 26 3 8 3" xfId="7595" xr:uid="{00000000-0005-0000-0000-0000260E0000}"/>
    <cellStyle name="Comma 26 3 9" xfId="2474" xr:uid="{00000000-0005-0000-0000-0000270E0000}"/>
    <cellStyle name="Comma 26 3 9 2" xfId="5816" xr:uid="{00000000-0005-0000-0000-0000280E0000}"/>
    <cellStyle name="Comma 26 3 9 2 2" xfId="11130" xr:uid="{00000000-0005-0000-0000-0000290E0000}"/>
    <cellStyle name="Comma 26 3 9 3" xfId="8472" xr:uid="{00000000-0005-0000-0000-00002A0E0000}"/>
    <cellStyle name="Comma 26 4" xfId="205" xr:uid="{00000000-0005-0000-0000-00002B0E0000}"/>
    <cellStyle name="Comma 26 4 2" xfId="400" xr:uid="{00000000-0005-0000-0000-00002C0E0000}"/>
    <cellStyle name="Comma 26 4 2 2" xfId="723" xr:uid="{00000000-0005-0000-0000-00002D0E0000}"/>
    <cellStyle name="Comma 26 4 2 2 2" xfId="1410" xr:uid="{00000000-0005-0000-0000-00002E0E0000}"/>
    <cellStyle name="Comma 26 4 2 2 2 2" xfId="2342" xr:uid="{00000000-0005-0000-0000-00002F0E0000}"/>
    <cellStyle name="Comma 26 4 2 2 2 2 2" xfId="5689" xr:uid="{00000000-0005-0000-0000-0000300E0000}"/>
    <cellStyle name="Comma 26 4 2 2 2 2 2 2" xfId="11003" xr:uid="{00000000-0005-0000-0000-0000310E0000}"/>
    <cellStyle name="Comma 26 4 2 2 2 2 3" xfId="8345" xr:uid="{00000000-0005-0000-0000-0000320E0000}"/>
    <cellStyle name="Comma 26 4 2 2 2 3" xfId="3263" xr:uid="{00000000-0005-0000-0000-0000330E0000}"/>
    <cellStyle name="Comma 26 4 2 2 2 3 2" xfId="6566" xr:uid="{00000000-0005-0000-0000-0000340E0000}"/>
    <cellStyle name="Comma 26 4 2 2 2 3 2 2" xfId="11880" xr:uid="{00000000-0005-0000-0000-0000350E0000}"/>
    <cellStyle name="Comma 26 4 2 2 2 3 3" xfId="9222" xr:uid="{00000000-0005-0000-0000-0000360E0000}"/>
    <cellStyle name="Comma 26 4 2 2 2 4" xfId="4802" xr:uid="{00000000-0005-0000-0000-0000370E0000}"/>
    <cellStyle name="Comma 26 4 2 2 2 4 2" xfId="10126" xr:uid="{00000000-0005-0000-0000-0000380E0000}"/>
    <cellStyle name="Comma 26 4 2 2 2 5" xfId="7468" xr:uid="{00000000-0005-0000-0000-0000390E0000}"/>
    <cellStyle name="Comma 26 4 2 2 3" xfId="1904" xr:uid="{00000000-0005-0000-0000-00003A0E0000}"/>
    <cellStyle name="Comma 26 4 2 2 3 2" xfId="5253" xr:uid="{00000000-0005-0000-0000-00003B0E0000}"/>
    <cellStyle name="Comma 26 4 2 2 3 2 2" xfId="10567" xr:uid="{00000000-0005-0000-0000-00003C0E0000}"/>
    <cellStyle name="Comma 26 4 2 2 3 3" xfId="7909" xr:uid="{00000000-0005-0000-0000-00003D0E0000}"/>
    <cellStyle name="Comma 26 4 2 2 4" xfId="2825" xr:uid="{00000000-0005-0000-0000-00003E0E0000}"/>
    <cellStyle name="Comma 26 4 2 2 4 2" xfId="6130" xr:uid="{00000000-0005-0000-0000-00003F0E0000}"/>
    <cellStyle name="Comma 26 4 2 2 4 2 2" xfId="11444" xr:uid="{00000000-0005-0000-0000-0000400E0000}"/>
    <cellStyle name="Comma 26 4 2 2 4 3" xfId="8786" xr:uid="{00000000-0005-0000-0000-0000410E0000}"/>
    <cellStyle name="Comma 26 4 2 2 5" xfId="4117" xr:uid="{00000000-0005-0000-0000-0000420E0000}"/>
    <cellStyle name="Comma 26 4 2 2 5 2" xfId="9690" xr:uid="{00000000-0005-0000-0000-0000430E0000}"/>
    <cellStyle name="Comma 26 4 2 2 6" xfId="7032" xr:uid="{00000000-0005-0000-0000-0000440E0000}"/>
    <cellStyle name="Comma 26 4 2 3" xfId="1088" xr:uid="{00000000-0005-0000-0000-0000450E0000}"/>
    <cellStyle name="Comma 26 4 2 3 2" xfId="2142" xr:uid="{00000000-0005-0000-0000-0000460E0000}"/>
    <cellStyle name="Comma 26 4 2 3 2 2" xfId="5489" xr:uid="{00000000-0005-0000-0000-0000470E0000}"/>
    <cellStyle name="Comma 26 4 2 3 2 2 2" xfId="10803" xr:uid="{00000000-0005-0000-0000-0000480E0000}"/>
    <cellStyle name="Comma 26 4 2 3 2 3" xfId="8145" xr:uid="{00000000-0005-0000-0000-0000490E0000}"/>
    <cellStyle name="Comma 26 4 2 3 3" xfId="3063" xr:uid="{00000000-0005-0000-0000-00004A0E0000}"/>
    <cellStyle name="Comma 26 4 2 3 3 2" xfId="6366" xr:uid="{00000000-0005-0000-0000-00004B0E0000}"/>
    <cellStyle name="Comma 26 4 2 3 3 2 2" xfId="11680" xr:uid="{00000000-0005-0000-0000-00004C0E0000}"/>
    <cellStyle name="Comma 26 4 2 3 3 3" xfId="9022" xr:uid="{00000000-0005-0000-0000-00004D0E0000}"/>
    <cellStyle name="Comma 26 4 2 3 4" xfId="4480" xr:uid="{00000000-0005-0000-0000-00004E0E0000}"/>
    <cellStyle name="Comma 26 4 2 3 4 2" xfId="9926" xr:uid="{00000000-0005-0000-0000-00004F0E0000}"/>
    <cellStyle name="Comma 26 4 2 3 5" xfId="7268" xr:uid="{00000000-0005-0000-0000-0000500E0000}"/>
    <cellStyle name="Comma 26 4 2 4" xfId="1704" xr:uid="{00000000-0005-0000-0000-0000510E0000}"/>
    <cellStyle name="Comma 26 4 2 4 2" xfId="5053" xr:uid="{00000000-0005-0000-0000-0000520E0000}"/>
    <cellStyle name="Comma 26 4 2 4 2 2" xfId="10367" xr:uid="{00000000-0005-0000-0000-0000530E0000}"/>
    <cellStyle name="Comma 26 4 2 4 3" xfId="7709" xr:uid="{00000000-0005-0000-0000-0000540E0000}"/>
    <cellStyle name="Comma 26 4 2 5" xfId="2625" xr:uid="{00000000-0005-0000-0000-0000550E0000}"/>
    <cellStyle name="Comma 26 4 2 5 2" xfId="5930" xr:uid="{00000000-0005-0000-0000-0000560E0000}"/>
    <cellStyle name="Comma 26 4 2 5 2 2" xfId="11244" xr:uid="{00000000-0005-0000-0000-0000570E0000}"/>
    <cellStyle name="Comma 26 4 2 5 3" xfId="8586" xr:uid="{00000000-0005-0000-0000-0000580E0000}"/>
    <cellStyle name="Comma 26 4 2 6" xfId="3795" xr:uid="{00000000-0005-0000-0000-0000590E0000}"/>
    <cellStyle name="Comma 26 4 2 6 2" xfId="9490" xr:uid="{00000000-0005-0000-0000-00005A0E0000}"/>
    <cellStyle name="Comma 26 4 2 7" xfId="6832" xr:uid="{00000000-0005-0000-0000-00005B0E0000}"/>
    <cellStyle name="Comma 26 4 3" xfId="574" xr:uid="{00000000-0005-0000-0000-00005C0E0000}"/>
    <cellStyle name="Comma 26 4 3 2" xfId="1261" xr:uid="{00000000-0005-0000-0000-00005D0E0000}"/>
    <cellStyle name="Comma 26 4 3 2 2" xfId="2253" xr:uid="{00000000-0005-0000-0000-00005E0E0000}"/>
    <cellStyle name="Comma 26 4 3 2 2 2" xfId="5600" xr:uid="{00000000-0005-0000-0000-00005F0E0000}"/>
    <cellStyle name="Comma 26 4 3 2 2 2 2" xfId="10914" xr:uid="{00000000-0005-0000-0000-0000600E0000}"/>
    <cellStyle name="Comma 26 4 3 2 2 3" xfId="8256" xr:uid="{00000000-0005-0000-0000-0000610E0000}"/>
    <cellStyle name="Comma 26 4 3 2 3" xfId="3174" xr:uid="{00000000-0005-0000-0000-0000620E0000}"/>
    <cellStyle name="Comma 26 4 3 2 3 2" xfId="6477" xr:uid="{00000000-0005-0000-0000-0000630E0000}"/>
    <cellStyle name="Comma 26 4 3 2 3 2 2" xfId="11791" xr:uid="{00000000-0005-0000-0000-0000640E0000}"/>
    <cellStyle name="Comma 26 4 3 2 3 3" xfId="9133" xr:uid="{00000000-0005-0000-0000-0000650E0000}"/>
    <cellStyle name="Comma 26 4 3 2 4" xfId="4653" xr:uid="{00000000-0005-0000-0000-0000660E0000}"/>
    <cellStyle name="Comma 26 4 3 2 4 2" xfId="10037" xr:uid="{00000000-0005-0000-0000-0000670E0000}"/>
    <cellStyle name="Comma 26 4 3 2 5" xfId="7379" xr:uid="{00000000-0005-0000-0000-0000680E0000}"/>
    <cellStyle name="Comma 26 4 3 3" xfId="1815" xr:uid="{00000000-0005-0000-0000-0000690E0000}"/>
    <cellStyle name="Comma 26 4 3 3 2" xfId="5164" xr:uid="{00000000-0005-0000-0000-00006A0E0000}"/>
    <cellStyle name="Comma 26 4 3 3 2 2" xfId="10478" xr:uid="{00000000-0005-0000-0000-00006B0E0000}"/>
    <cellStyle name="Comma 26 4 3 3 3" xfId="7820" xr:uid="{00000000-0005-0000-0000-00006C0E0000}"/>
    <cellStyle name="Comma 26 4 3 4" xfId="2736" xr:uid="{00000000-0005-0000-0000-00006D0E0000}"/>
    <cellStyle name="Comma 26 4 3 4 2" xfId="6041" xr:uid="{00000000-0005-0000-0000-00006E0E0000}"/>
    <cellStyle name="Comma 26 4 3 4 2 2" xfId="11355" xr:uid="{00000000-0005-0000-0000-00006F0E0000}"/>
    <cellStyle name="Comma 26 4 3 4 3" xfId="8697" xr:uid="{00000000-0005-0000-0000-0000700E0000}"/>
    <cellStyle name="Comma 26 4 3 5" xfId="3968" xr:uid="{00000000-0005-0000-0000-0000710E0000}"/>
    <cellStyle name="Comma 26 4 3 5 2" xfId="9601" xr:uid="{00000000-0005-0000-0000-0000720E0000}"/>
    <cellStyle name="Comma 26 4 3 6" xfId="6943" xr:uid="{00000000-0005-0000-0000-0000730E0000}"/>
    <cellStyle name="Comma 26 4 4" xfId="939" xr:uid="{00000000-0005-0000-0000-0000740E0000}"/>
    <cellStyle name="Comma 26 4 4 2" xfId="2053" xr:uid="{00000000-0005-0000-0000-0000750E0000}"/>
    <cellStyle name="Comma 26 4 4 2 2" xfId="5400" xr:uid="{00000000-0005-0000-0000-0000760E0000}"/>
    <cellStyle name="Comma 26 4 4 2 2 2" xfId="10714" xr:uid="{00000000-0005-0000-0000-0000770E0000}"/>
    <cellStyle name="Comma 26 4 4 2 3" xfId="8056" xr:uid="{00000000-0005-0000-0000-0000780E0000}"/>
    <cellStyle name="Comma 26 4 4 3" xfId="2974" xr:uid="{00000000-0005-0000-0000-0000790E0000}"/>
    <cellStyle name="Comma 26 4 4 3 2" xfId="6277" xr:uid="{00000000-0005-0000-0000-00007A0E0000}"/>
    <cellStyle name="Comma 26 4 4 3 2 2" xfId="11591" xr:uid="{00000000-0005-0000-0000-00007B0E0000}"/>
    <cellStyle name="Comma 26 4 4 3 3" xfId="8933" xr:uid="{00000000-0005-0000-0000-00007C0E0000}"/>
    <cellStyle name="Comma 26 4 4 4" xfId="4331" xr:uid="{00000000-0005-0000-0000-00007D0E0000}"/>
    <cellStyle name="Comma 26 4 4 4 2" xfId="9837" xr:uid="{00000000-0005-0000-0000-00007E0E0000}"/>
    <cellStyle name="Comma 26 4 4 5" xfId="7179" xr:uid="{00000000-0005-0000-0000-00007F0E0000}"/>
    <cellStyle name="Comma 26 4 5" xfId="1614" xr:uid="{00000000-0005-0000-0000-0000800E0000}"/>
    <cellStyle name="Comma 26 4 5 2" xfId="4964" xr:uid="{00000000-0005-0000-0000-0000810E0000}"/>
    <cellStyle name="Comma 26 4 5 2 2" xfId="10278" xr:uid="{00000000-0005-0000-0000-0000820E0000}"/>
    <cellStyle name="Comma 26 4 5 3" xfId="7620" xr:uid="{00000000-0005-0000-0000-0000830E0000}"/>
    <cellStyle name="Comma 26 4 6" xfId="2535" xr:uid="{00000000-0005-0000-0000-0000840E0000}"/>
    <cellStyle name="Comma 26 4 6 2" xfId="5841" xr:uid="{00000000-0005-0000-0000-0000850E0000}"/>
    <cellStyle name="Comma 26 4 6 2 2" xfId="11155" xr:uid="{00000000-0005-0000-0000-0000860E0000}"/>
    <cellStyle name="Comma 26 4 6 3" xfId="8497" xr:uid="{00000000-0005-0000-0000-0000870E0000}"/>
    <cellStyle name="Comma 26 4 7" xfId="3646" xr:uid="{00000000-0005-0000-0000-0000880E0000}"/>
    <cellStyle name="Comma 26 4 7 2" xfId="9401" xr:uid="{00000000-0005-0000-0000-0000890E0000}"/>
    <cellStyle name="Comma 26 4 8" xfId="6738" xr:uid="{00000000-0005-0000-0000-00008A0E0000}"/>
    <cellStyle name="Comma 26 5" xfId="310" xr:uid="{00000000-0005-0000-0000-00008B0E0000}"/>
    <cellStyle name="Comma 26 5 2" xfId="633" xr:uid="{00000000-0005-0000-0000-00008C0E0000}"/>
    <cellStyle name="Comma 26 5 2 2" xfId="1320" xr:uid="{00000000-0005-0000-0000-00008D0E0000}"/>
    <cellStyle name="Comma 26 5 2 2 2" xfId="2310" xr:uid="{00000000-0005-0000-0000-00008E0E0000}"/>
    <cellStyle name="Comma 26 5 2 2 2 2" xfId="5657" xr:uid="{00000000-0005-0000-0000-00008F0E0000}"/>
    <cellStyle name="Comma 26 5 2 2 2 2 2" xfId="10971" xr:uid="{00000000-0005-0000-0000-0000900E0000}"/>
    <cellStyle name="Comma 26 5 2 2 2 3" xfId="8313" xr:uid="{00000000-0005-0000-0000-0000910E0000}"/>
    <cellStyle name="Comma 26 5 2 2 3" xfId="3231" xr:uid="{00000000-0005-0000-0000-0000920E0000}"/>
    <cellStyle name="Comma 26 5 2 2 3 2" xfId="6534" xr:uid="{00000000-0005-0000-0000-0000930E0000}"/>
    <cellStyle name="Comma 26 5 2 2 3 2 2" xfId="11848" xr:uid="{00000000-0005-0000-0000-0000940E0000}"/>
    <cellStyle name="Comma 26 5 2 2 3 3" xfId="9190" xr:uid="{00000000-0005-0000-0000-0000950E0000}"/>
    <cellStyle name="Comma 26 5 2 2 4" xfId="4712" xr:uid="{00000000-0005-0000-0000-0000960E0000}"/>
    <cellStyle name="Comma 26 5 2 2 4 2" xfId="10094" xr:uid="{00000000-0005-0000-0000-0000970E0000}"/>
    <cellStyle name="Comma 26 5 2 2 5" xfId="7436" xr:uid="{00000000-0005-0000-0000-0000980E0000}"/>
    <cellStyle name="Comma 26 5 2 3" xfId="1872" xr:uid="{00000000-0005-0000-0000-0000990E0000}"/>
    <cellStyle name="Comma 26 5 2 3 2" xfId="5221" xr:uid="{00000000-0005-0000-0000-00009A0E0000}"/>
    <cellStyle name="Comma 26 5 2 3 2 2" xfId="10535" xr:uid="{00000000-0005-0000-0000-00009B0E0000}"/>
    <cellStyle name="Comma 26 5 2 3 3" xfId="7877" xr:uid="{00000000-0005-0000-0000-00009C0E0000}"/>
    <cellStyle name="Comma 26 5 2 4" xfId="2793" xr:uid="{00000000-0005-0000-0000-00009D0E0000}"/>
    <cellStyle name="Comma 26 5 2 4 2" xfId="6098" xr:uid="{00000000-0005-0000-0000-00009E0E0000}"/>
    <cellStyle name="Comma 26 5 2 4 2 2" xfId="11412" xr:uid="{00000000-0005-0000-0000-00009F0E0000}"/>
    <cellStyle name="Comma 26 5 2 4 3" xfId="8754" xr:uid="{00000000-0005-0000-0000-0000A00E0000}"/>
    <cellStyle name="Comma 26 5 2 5" xfId="4027" xr:uid="{00000000-0005-0000-0000-0000A10E0000}"/>
    <cellStyle name="Comma 26 5 2 5 2" xfId="9658" xr:uid="{00000000-0005-0000-0000-0000A20E0000}"/>
    <cellStyle name="Comma 26 5 2 6" xfId="7000" xr:uid="{00000000-0005-0000-0000-0000A30E0000}"/>
    <cellStyle name="Comma 26 5 3" xfId="998" xr:uid="{00000000-0005-0000-0000-0000A40E0000}"/>
    <cellStyle name="Comma 26 5 3 2" xfId="2110" xr:uid="{00000000-0005-0000-0000-0000A50E0000}"/>
    <cellStyle name="Comma 26 5 3 2 2" xfId="5457" xr:uid="{00000000-0005-0000-0000-0000A60E0000}"/>
    <cellStyle name="Comma 26 5 3 2 2 2" xfId="10771" xr:uid="{00000000-0005-0000-0000-0000A70E0000}"/>
    <cellStyle name="Comma 26 5 3 2 3" xfId="8113" xr:uid="{00000000-0005-0000-0000-0000A80E0000}"/>
    <cellStyle name="Comma 26 5 3 3" xfId="3031" xr:uid="{00000000-0005-0000-0000-0000A90E0000}"/>
    <cellStyle name="Comma 26 5 3 3 2" xfId="6334" xr:uid="{00000000-0005-0000-0000-0000AA0E0000}"/>
    <cellStyle name="Comma 26 5 3 3 2 2" xfId="11648" xr:uid="{00000000-0005-0000-0000-0000AB0E0000}"/>
    <cellStyle name="Comma 26 5 3 3 3" xfId="8990" xr:uid="{00000000-0005-0000-0000-0000AC0E0000}"/>
    <cellStyle name="Comma 26 5 3 4" xfId="4390" xr:uid="{00000000-0005-0000-0000-0000AD0E0000}"/>
    <cellStyle name="Comma 26 5 3 4 2" xfId="9894" xr:uid="{00000000-0005-0000-0000-0000AE0E0000}"/>
    <cellStyle name="Comma 26 5 3 5" xfId="7236" xr:uid="{00000000-0005-0000-0000-0000AF0E0000}"/>
    <cellStyle name="Comma 26 5 4" xfId="1672" xr:uid="{00000000-0005-0000-0000-0000B00E0000}"/>
    <cellStyle name="Comma 26 5 4 2" xfId="5021" xr:uid="{00000000-0005-0000-0000-0000B10E0000}"/>
    <cellStyle name="Comma 26 5 4 2 2" xfId="10335" xr:uid="{00000000-0005-0000-0000-0000B20E0000}"/>
    <cellStyle name="Comma 26 5 4 3" xfId="7677" xr:uid="{00000000-0005-0000-0000-0000B30E0000}"/>
    <cellStyle name="Comma 26 5 5" xfId="2593" xr:uid="{00000000-0005-0000-0000-0000B40E0000}"/>
    <cellStyle name="Comma 26 5 5 2" xfId="5898" xr:uid="{00000000-0005-0000-0000-0000B50E0000}"/>
    <cellStyle name="Comma 26 5 5 2 2" xfId="11212" xr:uid="{00000000-0005-0000-0000-0000B60E0000}"/>
    <cellStyle name="Comma 26 5 5 3" xfId="8554" xr:uid="{00000000-0005-0000-0000-0000B70E0000}"/>
    <cellStyle name="Comma 26 5 6" xfId="3705" xr:uid="{00000000-0005-0000-0000-0000B80E0000}"/>
    <cellStyle name="Comma 26 5 6 2" xfId="9458" xr:uid="{00000000-0005-0000-0000-0000B90E0000}"/>
    <cellStyle name="Comma 26 5 7" xfId="6800" xr:uid="{00000000-0005-0000-0000-0000BA0E0000}"/>
    <cellStyle name="Comma 26 6" xfId="485" xr:uid="{00000000-0005-0000-0000-0000BB0E0000}"/>
    <cellStyle name="Comma 26 6 2" xfId="1172" xr:uid="{00000000-0005-0000-0000-0000BC0E0000}"/>
    <cellStyle name="Comma 26 6 2 2" xfId="2221" xr:uid="{00000000-0005-0000-0000-0000BD0E0000}"/>
    <cellStyle name="Comma 26 6 2 2 2" xfId="5568" xr:uid="{00000000-0005-0000-0000-0000BE0E0000}"/>
    <cellStyle name="Comma 26 6 2 2 2 2" xfId="10882" xr:uid="{00000000-0005-0000-0000-0000BF0E0000}"/>
    <cellStyle name="Comma 26 6 2 2 3" xfId="8224" xr:uid="{00000000-0005-0000-0000-0000C00E0000}"/>
    <cellStyle name="Comma 26 6 2 3" xfId="3142" xr:uid="{00000000-0005-0000-0000-0000C10E0000}"/>
    <cellStyle name="Comma 26 6 2 3 2" xfId="6445" xr:uid="{00000000-0005-0000-0000-0000C20E0000}"/>
    <cellStyle name="Comma 26 6 2 3 2 2" xfId="11759" xr:uid="{00000000-0005-0000-0000-0000C30E0000}"/>
    <cellStyle name="Comma 26 6 2 3 3" xfId="9101" xr:uid="{00000000-0005-0000-0000-0000C40E0000}"/>
    <cellStyle name="Comma 26 6 2 4" xfId="4564" xr:uid="{00000000-0005-0000-0000-0000C50E0000}"/>
    <cellStyle name="Comma 26 6 2 4 2" xfId="10005" xr:uid="{00000000-0005-0000-0000-0000C60E0000}"/>
    <cellStyle name="Comma 26 6 2 5" xfId="7347" xr:uid="{00000000-0005-0000-0000-0000C70E0000}"/>
    <cellStyle name="Comma 26 6 3" xfId="1783" xr:uid="{00000000-0005-0000-0000-0000C80E0000}"/>
    <cellStyle name="Comma 26 6 3 2" xfId="5132" xr:uid="{00000000-0005-0000-0000-0000C90E0000}"/>
    <cellStyle name="Comma 26 6 3 2 2" xfId="10446" xr:uid="{00000000-0005-0000-0000-0000CA0E0000}"/>
    <cellStyle name="Comma 26 6 3 3" xfId="7788" xr:uid="{00000000-0005-0000-0000-0000CB0E0000}"/>
    <cellStyle name="Comma 26 6 4" xfId="2704" xr:uid="{00000000-0005-0000-0000-0000CC0E0000}"/>
    <cellStyle name="Comma 26 6 4 2" xfId="6009" xr:uid="{00000000-0005-0000-0000-0000CD0E0000}"/>
    <cellStyle name="Comma 26 6 4 2 2" xfId="11323" xr:uid="{00000000-0005-0000-0000-0000CE0E0000}"/>
    <cellStyle name="Comma 26 6 4 3" xfId="8665" xr:uid="{00000000-0005-0000-0000-0000CF0E0000}"/>
    <cellStyle name="Comma 26 6 5" xfId="3879" xr:uid="{00000000-0005-0000-0000-0000D00E0000}"/>
    <cellStyle name="Comma 26 6 5 2" xfId="9569" xr:uid="{00000000-0005-0000-0000-0000D10E0000}"/>
    <cellStyle name="Comma 26 6 6" xfId="6911" xr:uid="{00000000-0005-0000-0000-0000D20E0000}"/>
    <cellStyle name="Comma 26 7" xfId="850" xr:uid="{00000000-0005-0000-0000-0000D30E0000}"/>
    <cellStyle name="Comma 26 7 2" xfId="2021" xr:uid="{00000000-0005-0000-0000-0000D40E0000}"/>
    <cellStyle name="Comma 26 7 2 2" xfId="5368" xr:uid="{00000000-0005-0000-0000-0000D50E0000}"/>
    <cellStyle name="Comma 26 7 2 2 2" xfId="10682" xr:uid="{00000000-0005-0000-0000-0000D60E0000}"/>
    <cellStyle name="Comma 26 7 2 3" xfId="8024" xr:uid="{00000000-0005-0000-0000-0000D70E0000}"/>
    <cellStyle name="Comma 26 7 3" xfId="2942" xr:uid="{00000000-0005-0000-0000-0000D80E0000}"/>
    <cellStyle name="Comma 26 7 3 2" xfId="6245" xr:uid="{00000000-0005-0000-0000-0000D90E0000}"/>
    <cellStyle name="Comma 26 7 3 2 2" xfId="11559" xr:uid="{00000000-0005-0000-0000-0000DA0E0000}"/>
    <cellStyle name="Comma 26 7 3 3" xfId="8901" xr:uid="{00000000-0005-0000-0000-0000DB0E0000}"/>
    <cellStyle name="Comma 26 7 4" xfId="4242" xr:uid="{00000000-0005-0000-0000-0000DC0E0000}"/>
    <cellStyle name="Comma 26 7 4 2" xfId="9805" xr:uid="{00000000-0005-0000-0000-0000DD0E0000}"/>
    <cellStyle name="Comma 26 7 5" xfId="7147" xr:uid="{00000000-0005-0000-0000-0000DE0E0000}"/>
    <cellStyle name="Comma 26 8" xfId="1544" xr:uid="{00000000-0005-0000-0000-0000DF0E0000}"/>
    <cellStyle name="Comma 26 8 2" xfId="4932" xr:uid="{00000000-0005-0000-0000-0000E00E0000}"/>
    <cellStyle name="Comma 26 8 2 2" xfId="10246" xr:uid="{00000000-0005-0000-0000-0000E10E0000}"/>
    <cellStyle name="Comma 26 8 3" xfId="7588" xr:uid="{00000000-0005-0000-0000-0000E20E0000}"/>
    <cellStyle name="Comma 26 9" xfId="2466" xr:uid="{00000000-0005-0000-0000-0000E30E0000}"/>
    <cellStyle name="Comma 26 9 2" xfId="5809" xr:uid="{00000000-0005-0000-0000-0000E40E0000}"/>
    <cellStyle name="Comma 26 9 2 2" xfId="11123" xr:uid="{00000000-0005-0000-0000-0000E50E0000}"/>
    <cellStyle name="Comma 26 9 3" xfId="8465" xr:uid="{00000000-0005-0000-0000-0000E60E0000}"/>
    <cellStyle name="Comma 27" xfId="6702" xr:uid="{00000000-0005-0000-0000-0000E70E0000}"/>
    <cellStyle name="Comma 28" xfId="12013" xr:uid="{45B6A8EE-2782-4BE2-82AA-F0559244FE65}"/>
    <cellStyle name="Comma 29" xfId="12017" xr:uid="{FFA174F3-A003-4990-911E-B73004CE980C}"/>
    <cellStyle name="Comma 3" xfId="19" xr:uid="{00000000-0005-0000-0000-0000E80E0000}"/>
    <cellStyle name="Comma 3 2" xfId="20" xr:uid="{00000000-0005-0000-0000-0000E90E0000}"/>
    <cellStyle name="Comma 3 2 2" xfId="143" xr:uid="{00000000-0005-0000-0000-0000EA0E0000}"/>
    <cellStyle name="Comma 3 2 2 2" xfId="349" xr:uid="{00000000-0005-0000-0000-0000EB0E0000}"/>
    <cellStyle name="Comma 3 2 2 2 2" xfId="672" xr:uid="{00000000-0005-0000-0000-0000EC0E0000}"/>
    <cellStyle name="Comma 3 2 2 2 2 2" xfId="1359" xr:uid="{00000000-0005-0000-0000-0000ED0E0000}"/>
    <cellStyle name="Comma 3 2 2 2 2 2 2" xfId="4751" xr:uid="{00000000-0005-0000-0000-0000EE0E0000}"/>
    <cellStyle name="Comma 3 2 2 2 2 3" xfId="4066" xr:uid="{00000000-0005-0000-0000-0000EF0E0000}"/>
    <cellStyle name="Comma 3 2 2 2 3" xfId="1037" xr:uid="{00000000-0005-0000-0000-0000F00E0000}"/>
    <cellStyle name="Comma 3 2 2 2 3 2" xfId="4429" xr:uid="{00000000-0005-0000-0000-0000F10E0000}"/>
    <cellStyle name="Comma 3 2 2 2 4" xfId="3744" xr:uid="{00000000-0005-0000-0000-0000F20E0000}"/>
    <cellStyle name="Comma 3 2 2 3" xfId="524" xr:uid="{00000000-0005-0000-0000-0000F30E0000}"/>
    <cellStyle name="Comma 3 2 2 3 2" xfId="1211" xr:uid="{00000000-0005-0000-0000-0000F40E0000}"/>
    <cellStyle name="Comma 3 2 2 3 2 2" xfId="4603" xr:uid="{00000000-0005-0000-0000-0000F50E0000}"/>
    <cellStyle name="Comma 3 2 2 3 3" xfId="3918" xr:uid="{00000000-0005-0000-0000-0000F60E0000}"/>
    <cellStyle name="Comma 3 2 2 4" xfId="889" xr:uid="{00000000-0005-0000-0000-0000F70E0000}"/>
    <cellStyle name="Comma 3 2 2 4 2" xfId="4281" xr:uid="{00000000-0005-0000-0000-0000F80E0000}"/>
    <cellStyle name="Comma 3 2 2 5" xfId="3460" xr:uid="{00000000-0005-0000-0000-0000F90E0000}"/>
    <cellStyle name="Comma 3 2 2 6" xfId="3596" xr:uid="{00000000-0005-0000-0000-0000FA0E0000}"/>
    <cellStyle name="Comma 3 2 3" xfId="142" xr:uid="{00000000-0005-0000-0000-0000FB0E0000}"/>
    <cellStyle name="Comma 3 2 3 2" xfId="348" xr:uid="{00000000-0005-0000-0000-0000FC0E0000}"/>
    <cellStyle name="Comma 3 2 3 2 2" xfId="671" xr:uid="{00000000-0005-0000-0000-0000FD0E0000}"/>
    <cellStyle name="Comma 3 2 3 2 2 2" xfId="1358" xr:uid="{00000000-0005-0000-0000-0000FE0E0000}"/>
    <cellStyle name="Comma 3 2 3 2 2 2 2" xfId="4750" xr:uid="{00000000-0005-0000-0000-0000FF0E0000}"/>
    <cellStyle name="Comma 3 2 3 2 2 3" xfId="4065" xr:uid="{00000000-0005-0000-0000-0000000F0000}"/>
    <cellStyle name="Comma 3 2 3 2 3" xfId="1036" xr:uid="{00000000-0005-0000-0000-0000010F0000}"/>
    <cellStyle name="Comma 3 2 3 2 3 2" xfId="4428" xr:uid="{00000000-0005-0000-0000-0000020F0000}"/>
    <cellStyle name="Comma 3 2 3 2 4" xfId="3743" xr:uid="{00000000-0005-0000-0000-0000030F0000}"/>
    <cellStyle name="Comma 3 2 3 3" xfId="523" xr:uid="{00000000-0005-0000-0000-0000040F0000}"/>
    <cellStyle name="Comma 3 2 3 3 2" xfId="1210" xr:uid="{00000000-0005-0000-0000-0000050F0000}"/>
    <cellStyle name="Comma 3 2 3 3 2 2" xfId="4602" xr:uid="{00000000-0005-0000-0000-0000060F0000}"/>
    <cellStyle name="Comma 3 2 3 3 3" xfId="3917" xr:uid="{00000000-0005-0000-0000-0000070F0000}"/>
    <cellStyle name="Comma 3 2 3 4" xfId="888" xr:uid="{00000000-0005-0000-0000-0000080F0000}"/>
    <cellStyle name="Comma 3 2 3 4 2" xfId="4280" xr:uid="{00000000-0005-0000-0000-0000090F0000}"/>
    <cellStyle name="Comma 3 2 3 5" xfId="3595" xr:uid="{00000000-0005-0000-0000-00000A0F0000}"/>
    <cellStyle name="Comma 3 2 4" xfId="94" xr:uid="{00000000-0005-0000-0000-00000B0F0000}"/>
    <cellStyle name="Comma 3 2 4 2" xfId="1567" xr:uid="{00000000-0005-0000-0000-00000C0F0000}"/>
    <cellStyle name="Comma 3 2 4 3" xfId="2489" xr:uid="{00000000-0005-0000-0000-00000D0F0000}"/>
    <cellStyle name="Comma 3 2 5" xfId="3459" xr:uid="{00000000-0005-0000-0000-00000E0F0000}"/>
    <cellStyle name="Comma 3 3" xfId="144" xr:uid="{00000000-0005-0000-0000-00000F0F0000}"/>
    <cellStyle name="Comma 3 3 2" xfId="350" xr:uid="{00000000-0005-0000-0000-0000100F0000}"/>
    <cellStyle name="Comma 3 3 2 2" xfId="673" xr:uid="{00000000-0005-0000-0000-0000110F0000}"/>
    <cellStyle name="Comma 3 3 2 2 2" xfId="1360" xr:uid="{00000000-0005-0000-0000-0000120F0000}"/>
    <cellStyle name="Comma 3 3 2 2 2 2" xfId="4752" xr:uid="{00000000-0005-0000-0000-0000130F0000}"/>
    <cellStyle name="Comma 3 3 2 2 3" xfId="4067" xr:uid="{00000000-0005-0000-0000-0000140F0000}"/>
    <cellStyle name="Comma 3 3 2 3" xfId="1038" xr:uid="{00000000-0005-0000-0000-0000150F0000}"/>
    <cellStyle name="Comma 3 3 2 3 2" xfId="4430" xr:uid="{00000000-0005-0000-0000-0000160F0000}"/>
    <cellStyle name="Comma 3 3 2 4" xfId="3745" xr:uid="{00000000-0005-0000-0000-0000170F0000}"/>
    <cellStyle name="Comma 3 3 3" xfId="525" xr:uid="{00000000-0005-0000-0000-0000180F0000}"/>
    <cellStyle name="Comma 3 3 3 2" xfId="1212" xr:uid="{00000000-0005-0000-0000-0000190F0000}"/>
    <cellStyle name="Comma 3 3 3 2 2" xfId="4604" xr:uid="{00000000-0005-0000-0000-00001A0F0000}"/>
    <cellStyle name="Comma 3 3 3 3" xfId="3919" xr:uid="{00000000-0005-0000-0000-00001B0F0000}"/>
    <cellStyle name="Comma 3 3 4" xfId="890" xr:uid="{00000000-0005-0000-0000-00001C0F0000}"/>
    <cellStyle name="Comma 3 3 4 2" xfId="4282" xr:uid="{00000000-0005-0000-0000-00001D0F0000}"/>
    <cellStyle name="Comma 3 3 5" xfId="3461" xr:uid="{00000000-0005-0000-0000-00001E0F0000}"/>
    <cellStyle name="Comma 3 3 5 2" xfId="9357" xr:uid="{00000000-0005-0000-0000-00001F0F0000}"/>
    <cellStyle name="Comma 3 3 6" xfId="3597" xr:uid="{00000000-0005-0000-0000-0000200F0000}"/>
    <cellStyle name="Comma 3 4" xfId="141" xr:uid="{00000000-0005-0000-0000-0000210F0000}"/>
    <cellStyle name="Comma 3 4 2" xfId="347" xr:uid="{00000000-0005-0000-0000-0000220F0000}"/>
    <cellStyle name="Comma 3 4 2 2" xfId="670" xr:uid="{00000000-0005-0000-0000-0000230F0000}"/>
    <cellStyle name="Comma 3 4 2 2 2" xfId="1357" xr:uid="{00000000-0005-0000-0000-0000240F0000}"/>
    <cellStyle name="Comma 3 4 2 2 2 2" xfId="4749" xr:uid="{00000000-0005-0000-0000-0000250F0000}"/>
    <cellStyle name="Comma 3 4 2 2 3" xfId="4064" xr:uid="{00000000-0005-0000-0000-0000260F0000}"/>
    <cellStyle name="Comma 3 4 2 3" xfId="1035" xr:uid="{00000000-0005-0000-0000-0000270F0000}"/>
    <cellStyle name="Comma 3 4 2 3 2" xfId="4427" xr:uid="{00000000-0005-0000-0000-0000280F0000}"/>
    <cellStyle name="Comma 3 4 2 4" xfId="3742" xr:uid="{00000000-0005-0000-0000-0000290F0000}"/>
    <cellStyle name="Comma 3 4 3" xfId="522" xr:uid="{00000000-0005-0000-0000-00002A0F0000}"/>
    <cellStyle name="Comma 3 4 3 2" xfId="1209" xr:uid="{00000000-0005-0000-0000-00002B0F0000}"/>
    <cellStyle name="Comma 3 4 3 2 2" xfId="4601" xr:uid="{00000000-0005-0000-0000-00002C0F0000}"/>
    <cellStyle name="Comma 3 4 3 3" xfId="3916" xr:uid="{00000000-0005-0000-0000-00002D0F0000}"/>
    <cellStyle name="Comma 3 4 4" xfId="887" xr:uid="{00000000-0005-0000-0000-00002E0F0000}"/>
    <cellStyle name="Comma 3 4 4 2" xfId="4279" xr:uid="{00000000-0005-0000-0000-00002F0F0000}"/>
    <cellStyle name="Comma 3 4 5" xfId="3462" xr:uid="{00000000-0005-0000-0000-0000300F0000}"/>
    <cellStyle name="Comma 3 4 6" xfId="3594" xr:uid="{00000000-0005-0000-0000-0000310F0000}"/>
    <cellStyle name="Comma 3 5" xfId="93" xr:uid="{00000000-0005-0000-0000-0000320F0000}"/>
    <cellStyle name="Comma 3 5 2" xfId="1566" xr:uid="{00000000-0005-0000-0000-0000330F0000}"/>
    <cellStyle name="Comma 3 5 3" xfId="2488" xr:uid="{00000000-0005-0000-0000-0000340F0000}"/>
    <cellStyle name="Comma 3 6" xfId="829" xr:uid="{00000000-0005-0000-0000-0000350F0000}"/>
    <cellStyle name="Comma 3 6 2" xfId="2000" xr:uid="{00000000-0005-0000-0000-0000360F0000}"/>
    <cellStyle name="Comma 3 6 3" xfId="2921" xr:uid="{00000000-0005-0000-0000-0000370F0000}"/>
    <cellStyle name="Comma 3 7" xfId="3458" xr:uid="{00000000-0005-0000-0000-0000380F0000}"/>
    <cellStyle name="Comma 4" xfId="21" xr:uid="{00000000-0005-0000-0000-0000390F0000}"/>
    <cellStyle name="Comma 4 2" xfId="22" xr:uid="{00000000-0005-0000-0000-00003A0F0000}"/>
    <cellStyle name="Comma 4 2 2" xfId="147" xr:uid="{00000000-0005-0000-0000-00003B0F0000}"/>
    <cellStyle name="Comma 4 2 2 2" xfId="353" xr:uid="{00000000-0005-0000-0000-00003C0F0000}"/>
    <cellStyle name="Comma 4 2 2 2 2" xfId="676" xr:uid="{00000000-0005-0000-0000-00003D0F0000}"/>
    <cellStyle name="Comma 4 2 2 2 2 2" xfId="1363" xr:uid="{00000000-0005-0000-0000-00003E0F0000}"/>
    <cellStyle name="Comma 4 2 2 2 2 2 2" xfId="4755" xr:uid="{00000000-0005-0000-0000-00003F0F0000}"/>
    <cellStyle name="Comma 4 2 2 2 2 3" xfId="4070" xr:uid="{00000000-0005-0000-0000-0000400F0000}"/>
    <cellStyle name="Comma 4 2 2 2 3" xfId="1041" xr:uid="{00000000-0005-0000-0000-0000410F0000}"/>
    <cellStyle name="Comma 4 2 2 2 3 2" xfId="4433" xr:uid="{00000000-0005-0000-0000-0000420F0000}"/>
    <cellStyle name="Comma 4 2 2 2 4" xfId="3748" xr:uid="{00000000-0005-0000-0000-0000430F0000}"/>
    <cellStyle name="Comma 4 2 2 3" xfId="528" xr:uid="{00000000-0005-0000-0000-0000440F0000}"/>
    <cellStyle name="Comma 4 2 2 3 2" xfId="1215" xr:uid="{00000000-0005-0000-0000-0000450F0000}"/>
    <cellStyle name="Comma 4 2 2 3 2 2" xfId="4607" xr:uid="{00000000-0005-0000-0000-0000460F0000}"/>
    <cellStyle name="Comma 4 2 2 3 3" xfId="3922" xr:uid="{00000000-0005-0000-0000-0000470F0000}"/>
    <cellStyle name="Comma 4 2 2 4" xfId="893" xr:uid="{00000000-0005-0000-0000-0000480F0000}"/>
    <cellStyle name="Comma 4 2 2 4 2" xfId="4285" xr:uid="{00000000-0005-0000-0000-0000490F0000}"/>
    <cellStyle name="Comma 4 2 2 5" xfId="3466" xr:uid="{00000000-0005-0000-0000-00004A0F0000}"/>
    <cellStyle name="Comma 4 2 2 6" xfId="3600" xr:uid="{00000000-0005-0000-0000-00004B0F0000}"/>
    <cellStyle name="Comma 4 2 3" xfId="146" xr:uid="{00000000-0005-0000-0000-00004C0F0000}"/>
    <cellStyle name="Comma 4 2 3 2" xfId="352" xr:uid="{00000000-0005-0000-0000-00004D0F0000}"/>
    <cellStyle name="Comma 4 2 3 2 2" xfId="675" xr:uid="{00000000-0005-0000-0000-00004E0F0000}"/>
    <cellStyle name="Comma 4 2 3 2 2 2" xfId="1362" xr:uid="{00000000-0005-0000-0000-00004F0F0000}"/>
    <cellStyle name="Comma 4 2 3 2 2 2 2" xfId="4754" xr:uid="{00000000-0005-0000-0000-0000500F0000}"/>
    <cellStyle name="Comma 4 2 3 2 2 3" xfId="4069" xr:uid="{00000000-0005-0000-0000-0000510F0000}"/>
    <cellStyle name="Comma 4 2 3 2 3" xfId="1040" xr:uid="{00000000-0005-0000-0000-0000520F0000}"/>
    <cellStyle name="Comma 4 2 3 2 3 2" xfId="4432" xr:uid="{00000000-0005-0000-0000-0000530F0000}"/>
    <cellStyle name="Comma 4 2 3 2 4" xfId="3747" xr:uid="{00000000-0005-0000-0000-0000540F0000}"/>
    <cellStyle name="Comma 4 2 3 3" xfId="527" xr:uid="{00000000-0005-0000-0000-0000550F0000}"/>
    <cellStyle name="Comma 4 2 3 3 2" xfId="1214" xr:uid="{00000000-0005-0000-0000-0000560F0000}"/>
    <cellStyle name="Comma 4 2 3 3 2 2" xfId="4606" xr:uid="{00000000-0005-0000-0000-0000570F0000}"/>
    <cellStyle name="Comma 4 2 3 3 3" xfId="3921" xr:uid="{00000000-0005-0000-0000-0000580F0000}"/>
    <cellStyle name="Comma 4 2 3 4" xfId="892" xr:uid="{00000000-0005-0000-0000-0000590F0000}"/>
    <cellStyle name="Comma 4 2 3 4 2" xfId="4284" xr:uid="{00000000-0005-0000-0000-00005A0F0000}"/>
    <cellStyle name="Comma 4 2 3 5" xfId="3599" xr:uid="{00000000-0005-0000-0000-00005B0F0000}"/>
    <cellStyle name="Comma 4 2 4" xfId="96" xr:uid="{00000000-0005-0000-0000-00005C0F0000}"/>
    <cellStyle name="Comma 4 2 4 2" xfId="1569" xr:uid="{00000000-0005-0000-0000-00005D0F0000}"/>
    <cellStyle name="Comma 4 2 4 3" xfId="2491" xr:uid="{00000000-0005-0000-0000-00005E0F0000}"/>
    <cellStyle name="Comma 4 2 5" xfId="3465" xr:uid="{00000000-0005-0000-0000-00005F0F0000}"/>
    <cellStyle name="Comma 4 3" xfId="148" xr:uid="{00000000-0005-0000-0000-0000600F0000}"/>
    <cellStyle name="Comma 4 3 2" xfId="354" xr:uid="{00000000-0005-0000-0000-0000610F0000}"/>
    <cellStyle name="Comma 4 3 2 2" xfId="677" xr:uid="{00000000-0005-0000-0000-0000620F0000}"/>
    <cellStyle name="Comma 4 3 2 2 2" xfId="1364" xr:uid="{00000000-0005-0000-0000-0000630F0000}"/>
    <cellStyle name="Comma 4 3 2 2 2 2" xfId="4756" xr:uid="{00000000-0005-0000-0000-0000640F0000}"/>
    <cellStyle name="Comma 4 3 2 2 3" xfId="4071" xr:uid="{00000000-0005-0000-0000-0000650F0000}"/>
    <cellStyle name="Comma 4 3 2 3" xfId="1042" xr:uid="{00000000-0005-0000-0000-0000660F0000}"/>
    <cellStyle name="Comma 4 3 2 3 2" xfId="4434" xr:uid="{00000000-0005-0000-0000-0000670F0000}"/>
    <cellStyle name="Comma 4 3 2 4" xfId="3749" xr:uid="{00000000-0005-0000-0000-0000680F0000}"/>
    <cellStyle name="Comma 4 3 3" xfId="529" xr:uid="{00000000-0005-0000-0000-0000690F0000}"/>
    <cellStyle name="Comma 4 3 3 2" xfId="1216" xr:uid="{00000000-0005-0000-0000-00006A0F0000}"/>
    <cellStyle name="Comma 4 3 3 2 2" xfId="4608" xr:uid="{00000000-0005-0000-0000-00006B0F0000}"/>
    <cellStyle name="Comma 4 3 3 3" xfId="3923" xr:uid="{00000000-0005-0000-0000-00006C0F0000}"/>
    <cellStyle name="Comma 4 3 4" xfId="894" xr:uid="{00000000-0005-0000-0000-00006D0F0000}"/>
    <cellStyle name="Comma 4 3 4 2" xfId="4286" xr:uid="{00000000-0005-0000-0000-00006E0F0000}"/>
    <cellStyle name="Comma 4 3 5" xfId="3467" xr:uid="{00000000-0005-0000-0000-00006F0F0000}"/>
    <cellStyle name="Comma 4 3 6" xfId="3601" xr:uid="{00000000-0005-0000-0000-0000700F0000}"/>
    <cellStyle name="Comma 4 4" xfId="145" xr:uid="{00000000-0005-0000-0000-0000710F0000}"/>
    <cellStyle name="Comma 4 4 2" xfId="351" xr:uid="{00000000-0005-0000-0000-0000720F0000}"/>
    <cellStyle name="Comma 4 4 2 2" xfId="674" xr:uid="{00000000-0005-0000-0000-0000730F0000}"/>
    <cellStyle name="Comma 4 4 2 2 2" xfId="1361" xr:uid="{00000000-0005-0000-0000-0000740F0000}"/>
    <cellStyle name="Comma 4 4 2 2 2 2" xfId="4753" xr:uid="{00000000-0005-0000-0000-0000750F0000}"/>
    <cellStyle name="Comma 4 4 2 2 3" xfId="4068" xr:uid="{00000000-0005-0000-0000-0000760F0000}"/>
    <cellStyle name="Comma 4 4 2 3" xfId="1039" xr:uid="{00000000-0005-0000-0000-0000770F0000}"/>
    <cellStyle name="Comma 4 4 2 3 2" xfId="4431" xr:uid="{00000000-0005-0000-0000-0000780F0000}"/>
    <cellStyle name="Comma 4 4 2 4" xfId="3746" xr:uid="{00000000-0005-0000-0000-0000790F0000}"/>
    <cellStyle name="Comma 4 4 3" xfId="526" xr:uid="{00000000-0005-0000-0000-00007A0F0000}"/>
    <cellStyle name="Comma 4 4 3 2" xfId="1213" xr:uid="{00000000-0005-0000-0000-00007B0F0000}"/>
    <cellStyle name="Comma 4 4 3 2 2" xfId="4605" xr:uid="{00000000-0005-0000-0000-00007C0F0000}"/>
    <cellStyle name="Comma 4 4 3 3" xfId="3920" xr:uid="{00000000-0005-0000-0000-00007D0F0000}"/>
    <cellStyle name="Comma 4 4 4" xfId="891" xr:uid="{00000000-0005-0000-0000-00007E0F0000}"/>
    <cellStyle name="Comma 4 4 4 2" xfId="4283" xr:uid="{00000000-0005-0000-0000-00007F0F0000}"/>
    <cellStyle name="Comma 4 4 5" xfId="3598" xr:uid="{00000000-0005-0000-0000-0000800F0000}"/>
    <cellStyle name="Comma 4 5" xfId="95" xr:uid="{00000000-0005-0000-0000-0000810F0000}"/>
    <cellStyle name="Comma 4 5 2" xfId="1568" xr:uid="{00000000-0005-0000-0000-0000820F0000}"/>
    <cellStyle name="Comma 4 5 3" xfId="2490" xr:uid="{00000000-0005-0000-0000-0000830F0000}"/>
    <cellStyle name="Comma 4 6" xfId="824" xr:uid="{00000000-0005-0000-0000-0000840F0000}"/>
    <cellStyle name="Comma 4 6 2" xfId="1510" xr:uid="{00000000-0005-0000-0000-0000850F0000}"/>
    <cellStyle name="Comma 4 6 2 2" xfId="2435" xr:uid="{00000000-0005-0000-0000-0000860F0000}"/>
    <cellStyle name="Comma 4 6 2 2 2" xfId="5782" xr:uid="{00000000-0005-0000-0000-0000870F0000}"/>
    <cellStyle name="Comma 4 6 2 2 2 2" xfId="11096" xr:uid="{00000000-0005-0000-0000-0000880F0000}"/>
    <cellStyle name="Comma 4 6 2 2 3" xfId="8438" xr:uid="{00000000-0005-0000-0000-0000890F0000}"/>
    <cellStyle name="Comma 4 6 2 3" xfId="3356" xr:uid="{00000000-0005-0000-0000-00008A0F0000}"/>
    <cellStyle name="Comma 4 6 2 3 2" xfId="6659" xr:uid="{00000000-0005-0000-0000-00008B0F0000}"/>
    <cellStyle name="Comma 4 6 2 3 2 2" xfId="11973" xr:uid="{00000000-0005-0000-0000-00008C0F0000}"/>
    <cellStyle name="Comma 4 6 2 3 3" xfId="9315" xr:uid="{00000000-0005-0000-0000-00008D0F0000}"/>
    <cellStyle name="Comma 4 6 2 4" xfId="4902" xr:uid="{00000000-0005-0000-0000-00008E0F0000}"/>
    <cellStyle name="Comma 4 6 2 4 2" xfId="10219" xr:uid="{00000000-0005-0000-0000-00008F0F0000}"/>
    <cellStyle name="Comma 4 6 2 5" xfId="7561" xr:uid="{00000000-0005-0000-0000-0000900F0000}"/>
    <cellStyle name="Comma 4 6 3" xfId="1998" xr:uid="{00000000-0005-0000-0000-0000910F0000}"/>
    <cellStyle name="Comma 4 6 3 2" xfId="5346" xr:uid="{00000000-0005-0000-0000-0000920F0000}"/>
    <cellStyle name="Comma 4 6 3 2 2" xfId="10660" xr:uid="{00000000-0005-0000-0000-0000930F0000}"/>
    <cellStyle name="Comma 4 6 3 3" xfId="8002" xr:uid="{00000000-0005-0000-0000-0000940F0000}"/>
    <cellStyle name="Comma 4 6 4" xfId="2919" xr:uid="{00000000-0005-0000-0000-0000950F0000}"/>
    <cellStyle name="Comma 4 6 4 2" xfId="6223" xr:uid="{00000000-0005-0000-0000-0000960F0000}"/>
    <cellStyle name="Comma 4 6 4 2 2" xfId="11537" xr:uid="{00000000-0005-0000-0000-0000970F0000}"/>
    <cellStyle name="Comma 4 6 4 3" xfId="8879" xr:uid="{00000000-0005-0000-0000-0000980F0000}"/>
    <cellStyle name="Comma 4 6 5" xfId="4217" xr:uid="{00000000-0005-0000-0000-0000990F0000}"/>
    <cellStyle name="Comma 4 6 5 2" xfId="9783" xr:uid="{00000000-0005-0000-0000-00009A0F0000}"/>
    <cellStyle name="Comma 4 6 6" xfId="7125" xr:uid="{00000000-0005-0000-0000-00009B0F0000}"/>
    <cellStyle name="Comma 4 7" xfId="3464" xr:uid="{00000000-0005-0000-0000-00009C0F0000}"/>
    <cellStyle name="Comma 5" xfId="23" xr:uid="{00000000-0005-0000-0000-00009D0F0000}"/>
    <cellStyle name="Comma 5 2" xfId="24" xr:uid="{00000000-0005-0000-0000-00009E0F0000}"/>
    <cellStyle name="Comma 5 2 2" xfId="25" xr:uid="{00000000-0005-0000-0000-00009F0F0000}"/>
    <cellStyle name="Comma 5 2 2 2" xfId="150" xr:uid="{00000000-0005-0000-0000-0000A00F0000}"/>
    <cellStyle name="Comma 5 2 2 2 2" xfId="356" xr:uid="{00000000-0005-0000-0000-0000A10F0000}"/>
    <cellStyle name="Comma 5 2 2 2 2 2" xfId="679" xr:uid="{00000000-0005-0000-0000-0000A20F0000}"/>
    <cellStyle name="Comma 5 2 2 2 2 2 2" xfId="1366" xr:uid="{00000000-0005-0000-0000-0000A30F0000}"/>
    <cellStyle name="Comma 5 2 2 2 2 2 2 2" xfId="4758" xr:uid="{00000000-0005-0000-0000-0000A40F0000}"/>
    <cellStyle name="Comma 5 2 2 2 2 2 3" xfId="4073" xr:uid="{00000000-0005-0000-0000-0000A50F0000}"/>
    <cellStyle name="Comma 5 2 2 2 2 3" xfId="1044" xr:uid="{00000000-0005-0000-0000-0000A60F0000}"/>
    <cellStyle name="Comma 5 2 2 2 2 3 2" xfId="4436" xr:uid="{00000000-0005-0000-0000-0000A70F0000}"/>
    <cellStyle name="Comma 5 2 2 2 2 4" xfId="3751" xr:uid="{00000000-0005-0000-0000-0000A80F0000}"/>
    <cellStyle name="Comma 5 2 2 2 3" xfId="531" xr:uid="{00000000-0005-0000-0000-0000A90F0000}"/>
    <cellStyle name="Comma 5 2 2 2 3 2" xfId="1218" xr:uid="{00000000-0005-0000-0000-0000AA0F0000}"/>
    <cellStyle name="Comma 5 2 2 2 3 2 2" xfId="4610" xr:uid="{00000000-0005-0000-0000-0000AB0F0000}"/>
    <cellStyle name="Comma 5 2 2 2 3 3" xfId="3925" xr:uid="{00000000-0005-0000-0000-0000AC0F0000}"/>
    <cellStyle name="Comma 5 2 2 2 4" xfId="896" xr:uid="{00000000-0005-0000-0000-0000AD0F0000}"/>
    <cellStyle name="Comma 5 2 2 2 4 2" xfId="4288" xr:uid="{00000000-0005-0000-0000-0000AE0F0000}"/>
    <cellStyle name="Comma 5 2 2 2 5" xfId="3603" xr:uid="{00000000-0005-0000-0000-0000AF0F0000}"/>
    <cellStyle name="Comma 5 2 2 3" xfId="149" xr:uid="{00000000-0005-0000-0000-0000B00F0000}"/>
    <cellStyle name="Comma 5 2 2 3 2" xfId="355" xr:uid="{00000000-0005-0000-0000-0000B10F0000}"/>
    <cellStyle name="Comma 5 2 2 3 2 2" xfId="678" xr:uid="{00000000-0005-0000-0000-0000B20F0000}"/>
    <cellStyle name="Comma 5 2 2 3 2 2 2" xfId="1365" xr:uid="{00000000-0005-0000-0000-0000B30F0000}"/>
    <cellStyle name="Comma 5 2 2 3 2 2 2 2" xfId="4757" xr:uid="{00000000-0005-0000-0000-0000B40F0000}"/>
    <cellStyle name="Comma 5 2 2 3 2 2 3" xfId="4072" xr:uid="{00000000-0005-0000-0000-0000B50F0000}"/>
    <cellStyle name="Comma 5 2 2 3 2 3" xfId="1043" xr:uid="{00000000-0005-0000-0000-0000B60F0000}"/>
    <cellStyle name="Comma 5 2 2 3 2 3 2" xfId="4435" xr:uid="{00000000-0005-0000-0000-0000B70F0000}"/>
    <cellStyle name="Comma 5 2 2 3 2 4" xfId="3750" xr:uid="{00000000-0005-0000-0000-0000B80F0000}"/>
    <cellStyle name="Comma 5 2 2 3 3" xfId="530" xr:uid="{00000000-0005-0000-0000-0000B90F0000}"/>
    <cellStyle name="Comma 5 2 2 3 3 2" xfId="1217" xr:uid="{00000000-0005-0000-0000-0000BA0F0000}"/>
    <cellStyle name="Comma 5 2 2 3 3 2 2" xfId="4609" xr:uid="{00000000-0005-0000-0000-0000BB0F0000}"/>
    <cellStyle name="Comma 5 2 2 3 3 3" xfId="3924" xr:uid="{00000000-0005-0000-0000-0000BC0F0000}"/>
    <cellStyle name="Comma 5 2 2 3 4" xfId="895" xr:uid="{00000000-0005-0000-0000-0000BD0F0000}"/>
    <cellStyle name="Comma 5 2 2 3 4 2" xfId="4287" xr:uid="{00000000-0005-0000-0000-0000BE0F0000}"/>
    <cellStyle name="Comma 5 2 2 3 5" xfId="3602" xr:uid="{00000000-0005-0000-0000-0000BF0F0000}"/>
    <cellStyle name="Comma 5 2 2 4" xfId="98" xr:uid="{00000000-0005-0000-0000-0000C00F0000}"/>
    <cellStyle name="Comma 5 2 2 4 2" xfId="1571" xr:uid="{00000000-0005-0000-0000-0000C10F0000}"/>
    <cellStyle name="Comma 5 2 2 4 3" xfId="2493" xr:uid="{00000000-0005-0000-0000-0000C20F0000}"/>
    <cellStyle name="Comma 5 2 3" xfId="97" xr:uid="{00000000-0005-0000-0000-0000C30F0000}"/>
    <cellStyle name="Comma 5 2 3 2" xfId="1570" xr:uid="{00000000-0005-0000-0000-0000C40F0000}"/>
    <cellStyle name="Comma 5 2 3 3" xfId="2492" xr:uid="{00000000-0005-0000-0000-0000C50F0000}"/>
    <cellStyle name="Comma 5 2 4" xfId="202" xr:uid="{00000000-0005-0000-0000-0000C60F0000}"/>
    <cellStyle name="Comma 5 2 4 2" xfId="1611" xr:uid="{00000000-0005-0000-0000-0000C70F0000}"/>
    <cellStyle name="Comma 5 2 4 3" xfId="2532" xr:uid="{00000000-0005-0000-0000-0000C80F0000}"/>
    <cellStyle name="Comma 5 2 5" xfId="1541" xr:uid="{00000000-0005-0000-0000-0000C90F0000}"/>
    <cellStyle name="Comma 5 2 6" xfId="2463" xr:uid="{00000000-0005-0000-0000-0000CA0F0000}"/>
    <cellStyle name="Comma 5 2 7" xfId="3468" xr:uid="{00000000-0005-0000-0000-0000CB0F0000}"/>
    <cellStyle name="Comma 5 3" xfId="26" xr:uid="{00000000-0005-0000-0000-0000CC0F0000}"/>
    <cellStyle name="Comma 5 3 2" xfId="152" xr:uid="{00000000-0005-0000-0000-0000CD0F0000}"/>
    <cellStyle name="Comma 5 3 2 2" xfId="358" xr:uid="{00000000-0005-0000-0000-0000CE0F0000}"/>
    <cellStyle name="Comma 5 3 2 2 2" xfId="681" xr:uid="{00000000-0005-0000-0000-0000CF0F0000}"/>
    <cellStyle name="Comma 5 3 2 2 2 2" xfId="1368" xr:uid="{00000000-0005-0000-0000-0000D00F0000}"/>
    <cellStyle name="Comma 5 3 2 2 2 2 2" xfId="4760" xr:uid="{00000000-0005-0000-0000-0000D10F0000}"/>
    <cellStyle name="Comma 5 3 2 2 2 3" xfId="4075" xr:uid="{00000000-0005-0000-0000-0000D20F0000}"/>
    <cellStyle name="Comma 5 3 2 2 3" xfId="1046" xr:uid="{00000000-0005-0000-0000-0000D30F0000}"/>
    <cellStyle name="Comma 5 3 2 2 3 2" xfId="4438" xr:uid="{00000000-0005-0000-0000-0000D40F0000}"/>
    <cellStyle name="Comma 5 3 2 2 4" xfId="3753" xr:uid="{00000000-0005-0000-0000-0000D50F0000}"/>
    <cellStyle name="Comma 5 3 2 3" xfId="533" xr:uid="{00000000-0005-0000-0000-0000D60F0000}"/>
    <cellStyle name="Comma 5 3 2 3 2" xfId="1220" xr:uid="{00000000-0005-0000-0000-0000D70F0000}"/>
    <cellStyle name="Comma 5 3 2 3 2 2" xfId="4612" xr:uid="{00000000-0005-0000-0000-0000D80F0000}"/>
    <cellStyle name="Comma 5 3 2 3 3" xfId="3927" xr:uid="{00000000-0005-0000-0000-0000D90F0000}"/>
    <cellStyle name="Comma 5 3 2 4" xfId="898" xr:uid="{00000000-0005-0000-0000-0000DA0F0000}"/>
    <cellStyle name="Comma 5 3 2 4 2" xfId="4290" xr:uid="{00000000-0005-0000-0000-0000DB0F0000}"/>
    <cellStyle name="Comma 5 3 2 5" xfId="3605" xr:uid="{00000000-0005-0000-0000-0000DC0F0000}"/>
    <cellStyle name="Comma 5 3 3" xfId="151" xr:uid="{00000000-0005-0000-0000-0000DD0F0000}"/>
    <cellStyle name="Comma 5 3 3 2" xfId="357" xr:uid="{00000000-0005-0000-0000-0000DE0F0000}"/>
    <cellStyle name="Comma 5 3 3 2 2" xfId="680" xr:uid="{00000000-0005-0000-0000-0000DF0F0000}"/>
    <cellStyle name="Comma 5 3 3 2 2 2" xfId="1367" xr:uid="{00000000-0005-0000-0000-0000E00F0000}"/>
    <cellStyle name="Comma 5 3 3 2 2 2 2" xfId="4759" xr:uid="{00000000-0005-0000-0000-0000E10F0000}"/>
    <cellStyle name="Comma 5 3 3 2 2 3" xfId="4074" xr:uid="{00000000-0005-0000-0000-0000E20F0000}"/>
    <cellStyle name="Comma 5 3 3 2 3" xfId="1045" xr:uid="{00000000-0005-0000-0000-0000E30F0000}"/>
    <cellStyle name="Comma 5 3 3 2 3 2" xfId="4437" xr:uid="{00000000-0005-0000-0000-0000E40F0000}"/>
    <cellStyle name="Comma 5 3 3 2 4" xfId="3752" xr:uid="{00000000-0005-0000-0000-0000E50F0000}"/>
    <cellStyle name="Comma 5 3 3 3" xfId="532" xr:uid="{00000000-0005-0000-0000-0000E60F0000}"/>
    <cellStyle name="Comma 5 3 3 3 2" xfId="1219" xr:uid="{00000000-0005-0000-0000-0000E70F0000}"/>
    <cellStyle name="Comma 5 3 3 3 2 2" xfId="4611" xr:uid="{00000000-0005-0000-0000-0000E80F0000}"/>
    <cellStyle name="Comma 5 3 3 3 3" xfId="3926" xr:uid="{00000000-0005-0000-0000-0000E90F0000}"/>
    <cellStyle name="Comma 5 3 3 4" xfId="897" xr:uid="{00000000-0005-0000-0000-0000EA0F0000}"/>
    <cellStyle name="Comma 5 3 3 4 2" xfId="4289" xr:uid="{00000000-0005-0000-0000-0000EB0F0000}"/>
    <cellStyle name="Comma 5 3 3 5" xfId="3604" xr:uid="{00000000-0005-0000-0000-0000EC0F0000}"/>
    <cellStyle name="Comma 5 3 4" xfId="99" xr:uid="{00000000-0005-0000-0000-0000ED0F0000}"/>
    <cellStyle name="Comma 5 3 4 2" xfId="1572" xr:uid="{00000000-0005-0000-0000-0000EE0F0000}"/>
    <cellStyle name="Comma 5 3 4 3" xfId="2494" xr:uid="{00000000-0005-0000-0000-0000EF0F0000}"/>
    <cellStyle name="Comma 5 4" xfId="27" xr:uid="{00000000-0005-0000-0000-0000F00F0000}"/>
    <cellStyle name="Comma 5 4 2" xfId="154" xr:uid="{00000000-0005-0000-0000-0000F10F0000}"/>
    <cellStyle name="Comma 5 4 2 2" xfId="360" xr:uid="{00000000-0005-0000-0000-0000F20F0000}"/>
    <cellStyle name="Comma 5 4 2 2 2" xfId="683" xr:uid="{00000000-0005-0000-0000-0000F30F0000}"/>
    <cellStyle name="Comma 5 4 2 2 2 2" xfId="1370" xr:uid="{00000000-0005-0000-0000-0000F40F0000}"/>
    <cellStyle name="Comma 5 4 2 2 2 2 2" xfId="4762" xr:uid="{00000000-0005-0000-0000-0000F50F0000}"/>
    <cellStyle name="Comma 5 4 2 2 2 3" xfId="4077" xr:uid="{00000000-0005-0000-0000-0000F60F0000}"/>
    <cellStyle name="Comma 5 4 2 2 3" xfId="1048" xr:uid="{00000000-0005-0000-0000-0000F70F0000}"/>
    <cellStyle name="Comma 5 4 2 2 3 2" xfId="4440" xr:uid="{00000000-0005-0000-0000-0000F80F0000}"/>
    <cellStyle name="Comma 5 4 2 2 4" xfId="3755" xr:uid="{00000000-0005-0000-0000-0000F90F0000}"/>
    <cellStyle name="Comma 5 4 2 3" xfId="535" xr:uid="{00000000-0005-0000-0000-0000FA0F0000}"/>
    <cellStyle name="Comma 5 4 2 3 2" xfId="1222" xr:uid="{00000000-0005-0000-0000-0000FB0F0000}"/>
    <cellStyle name="Comma 5 4 2 3 2 2" xfId="4614" xr:uid="{00000000-0005-0000-0000-0000FC0F0000}"/>
    <cellStyle name="Comma 5 4 2 3 3" xfId="3929" xr:uid="{00000000-0005-0000-0000-0000FD0F0000}"/>
    <cellStyle name="Comma 5 4 2 4" xfId="900" xr:uid="{00000000-0005-0000-0000-0000FE0F0000}"/>
    <cellStyle name="Comma 5 4 2 4 2" xfId="4292" xr:uid="{00000000-0005-0000-0000-0000FF0F0000}"/>
    <cellStyle name="Comma 5 4 2 5" xfId="3607" xr:uid="{00000000-0005-0000-0000-000000100000}"/>
    <cellStyle name="Comma 5 4 3" xfId="153" xr:uid="{00000000-0005-0000-0000-000001100000}"/>
    <cellStyle name="Comma 5 4 3 2" xfId="359" xr:uid="{00000000-0005-0000-0000-000002100000}"/>
    <cellStyle name="Comma 5 4 3 2 2" xfId="682" xr:uid="{00000000-0005-0000-0000-000003100000}"/>
    <cellStyle name="Comma 5 4 3 2 2 2" xfId="1369" xr:uid="{00000000-0005-0000-0000-000004100000}"/>
    <cellStyle name="Comma 5 4 3 2 2 2 2" xfId="4761" xr:uid="{00000000-0005-0000-0000-000005100000}"/>
    <cellStyle name="Comma 5 4 3 2 2 3" xfId="4076" xr:uid="{00000000-0005-0000-0000-000006100000}"/>
    <cellStyle name="Comma 5 4 3 2 3" xfId="1047" xr:uid="{00000000-0005-0000-0000-000007100000}"/>
    <cellStyle name="Comma 5 4 3 2 3 2" xfId="4439" xr:uid="{00000000-0005-0000-0000-000008100000}"/>
    <cellStyle name="Comma 5 4 3 2 4" xfId="3754" xr:uid="{00000000-0005-0000-0000-000009100000}"/>
    <cellStyle name="Comma 5 4 3 3" xfId="534" xr:uid="{00000000-0005-0000-0000-00000A100000}"/>
    <cellStyle name="Comma 5 4 3 3 2" xfId="1221" xr:uid="{00000000-0005-0000-0000-00000B100000}"/>
    <cellStyle name="Comma 5 4 3 3 2 2" xfId="4613" xr:uid="{00000000-0005-0000-0000-00000C100000}"/>
    <cellStyle name="Comma 5 4 3 3 3" xfId="3928" xr:uid="{00000000-0005-0000-0000-00000D100000}"/>
    <cellStyle name="Comma 5 4 3 4" xfId="899" xr:uid="{00000000-0005-0000-0000-00000E100000}"/>
    <cellStyle name="Comma 5 4 3 4 2" xfId="4291" xr:uid="{00000000-0005-0000-0000-00000F100000}"/>
    <cellStyle name="Comma 5 4 3 5" xfId="3606" xr:uid="{00000000-0005-0000-0000-000010100000}"/>
    <cellStyle name="Comma 5 4 4" xfId="100" xr:uid="{00000000-0005-0000-0000-000011100000}"/>
    <cellStyle name="Comma 5 4 4 2" xfId="1573" xr:uid="{00000000-0005-0000-0000-000012100000}"/>
    <cellStyle name="Comma 5 4 4 3" xfId="2495" xr:uid="{00000000-0005-0000-0000-000013100000}"/>
    <cellStyle name="Comma 5 5" xfId="28" xr:uid="{00000000-0005-0000-0000-000014100000}"/>
    <cellStyle name="Comma 5 5 2" xfId="156" xr:uid="{00000000-0005-0000-0000-000015100000}"/>
    <cellStyle name="Comma 5 5 2 2" xfId="362" xr:uid="{00000000-0005-0000-0000-000016100000}"/>
    <cellStyle name="Comma 5 5 2 2 2" xfId="685" xr:uid="{00000000-0005-0000-0000-000017100000}"/>
    <cellStyle name="Comma 5 5 2 2 2 2" xfId="1372" xr:uid="{00000000-0005-0000-0000-000018100000}"/>
    <cellStyle name="Comma 5 5 2 2 2 2 2" xfId="4764" xr:uid="{00000000-0005-0000-0000-000019100000}"/>
    <cellStyle name="Comma 5 5 2 2 2 3" xfId="4079" xr:uid="{00000000-0005-0000-0000-00001A100000}"/>
    <cellStyle name="Comma 5 5 2 2 3" xfId="1050" xr:uid="{00000000-0005-0000-0000-00001B100000}"/>
    <cellStyle name="Comma 5 5 2 2 3 2" xfId="4442" xr:uid="{00000000-0005-0000-0000-00001C100000}"/>
    <cellStyle name="Comma 5 5 2 2 4" xfId="3757" xr:uid="{00000000-0005-0000-0000-00001D100000}"/>
    <cellStyle name="Comma 5 5 2 3" xfId="537" xr:uid="{00000000-0005-0000-0000-00001E100000}"/>
    <cellStyle name="Comma 5 5 2 3 2" xfId="1224" xr:uid="{00000000-0005-0000-0000-00001F100000}"/>
    <cellStyle name="Comma 5 5 2 3 2 2" xfId="4616" xr:uid="{00000000-0005-0000-0000-000020100000}"/>
    <cellStyle name="Comma 5 5 2 3 3" xfId="3931" xr:uid="{00000000-0005-0000-0000-000021100000}"/>
    <cellStyle name="Comma 5 5 2 4" xfId="902" xr:uid="{00000000-0005-0000-0000-000022100000}"/>
    <cellStyle name="Comma 5 5 2 4 2" xfId="4294" xr:uid="{00000000-0005-0000-0000-000023100000}"/>
    <cellStyle name="Comma 5 5 2 5" xfId="3609" xr:uid="{00000000-0005-0000-0000-000024100000}"/>
    <cellStyle name="Comma 5 5 3" xfId="155" xr:uid="{00000000-0005-0000-0000-000025100000}"/>
    <cellStyle name="Comma 5 5 3 2" xfId="361" xr:uid="{00000000-0005-0000-0000-000026100000}"/>
    <cellStyle name="Comma 5 5 3 2 2" xfId="684" xr:uid="{00000000-0005-0000-0000-000027100000}"/>
    <cellStyle name="Comma 5 5 3 2 2 2" xfId="1371" xr:uid="{00000000-0005-0000-0000-000028100000}"/>
    <cellStyle name="Comma 5 5 3 2 2 2 2" xfId="4763" xr:uid="{00000000-0005-0000-0000-000029100000}"/>
    <cellStyle name="Comma 5 5 3 2 2 3" xfId="4078" xr:uid="{00000000-0005-0000-0000-00002A100000}"/>
    <cellStyle name="Comma 5 5 3 2 3" xfId="1049" xr:uid="{00000000-0005-0000-0000-00002B100000}"/>
    <cellStyle name="Comma 5 5 3 2 3 2" xfId="4441" xr:uid="{00000000-0005-0000-0000-00002C100000}"/>
    <cellStyle name="Comma 5 5 3 2 4" xfId="3756" xr:uid="{00000000-0005-0000-0000-00002D100000}"/>
    <cellStyle name="Comma 5 5 3 3" xfId="536" xr:uid="{00000000-0005-0000-0000-00002E100000}"/>
    <cellStyle name="Comma 5 5 3 3 2" xfId="1223" xr:uid="{00000000-0005-0000-0000-00002F100000}"/>
    <cellStyle name="Comma 5 5 3 3 2 2" xfId="4615" xr:uid="{00000000-0005-0000-0000-000030100000}"/>
    <cellStyle name="Comma 5 5 3 3 3" xfId="3930" xr:uid="{00000000-0005-0000-0000-000031100000}"/>
    <cellStyle name="Comma 5 5 3 4" xfId="901" xr:uid="{00000000-0005-0000-0000-000032100000}"/>
    <cellStyle name="Comma 5 5 3 4 2" xfId="4293" xr:uid="{00000000-0005-0000-0000-000033100000}"/>
    <cellStyle name="Comma 5 5 3 5" xfId="3608" xr:uid="{00000000-0005-0000-0000-000034100000}"/>
    <cellStyle name="Comma 5 5 4" xfId="101" xr:uid="{00000000-0005-0000-0000-000035100000}"/>
    <cellStyle name="Comma 5 5 4 2" xfId="1574" xr:uid="{00000000-0005-0000-0000-000036100000}"/>
    <cellStyle name="Comma 5 5 4 3" xfId="2496" xr:uid="{00000000-0005-0000-0000-000037100000}"/>
    <cellStyle name="Comma 5 6" xfId="223" xr:uid="{00000000-0005-0000-0000-000038100000}"/>
    <cellStyle name="Comma 5 6 10" xfId="6756" xr:uid="{00000000-0005-0000-0000-000039100000}"/>
    <cellStyle name="Comma 5 6 2" xfId="226" xr:uid="{00000000-0005-0000-0000-00003A100000}"/>
    <cellStyle name="Comma 5 6 2 2" xfId="421" xr:uid="{00000000-0005-0000-0000-00003B100000}"/>
    <cellStyle name="Comma 5 6 2 2 2" xfId="744" xr:uid="{00000000-0005-0000-0000-00003C100000}"/>
    <cellStyle name="Comma 5 6 2 2 2 2" xfId="1431" xr:uid="{00000000-0005-0000-0000-00003D100000}"/>
    <cellStyle name="Comma 5 6 2 2 2 2 2" xfId="2363" xr:uid="{00000000-0005-0000-0000-00003E100000}"/>
    <cellStyle name="Comma 5 6 2 2 2 2 2 2" xfId="5710" xr:uid="{00000000-0005-0000-0000-00003F100000}"/>
    <cellStyle name="Comma 5 6 2 2 2 2 2 2 2" xfId="11024" xr:uid="{00000000-0005-0000-0000-000040100000}"/>
    <cellStyle name="Comma 5 6 2 2 2 2 2 3" xfId="8366" xr:uid="{00000000-0005-0000-0000-000041100000}"/>
    <cellStyle name="Comma 5 6 2 2 2 2 3" xfId="3284" xr:uid="{00000000-0005-0000-0000-000042100000}"/>
    <cellStyle name="Comma 5 6 2 2 2 2 3 2" xfId="6587" xr:uid="{00000000-0005-0000-0000-000043100000}"/>
    <cellStyle name="Comma 5 6 2 2 2 2 3 2 2" xfId="11901" xr:uid="{00000000-0005-0000-0000-000044100000}"/>
    <cellStyle name="Comma 5 6 2 2 2 2 3 3" xfId="9243" xr:uid="{00000000-0005-0000-0000-000045100000}"/>
    <cellStyle name="Comma 5 6 2 2 2 2 4" xfId="4823" xr:uid="{00000000-0005-0000-0000-000046100000}"/>
    <cellStyle name="Comma 5 6 2 2 2 2 4 2" xfId="10147" xr:uid="{00000000-0005-0000-0000-000047100000}"/>
    <cellStyle name="Comma 5 6 2 2 2 2 5" xfId="7489" xr:uid="{00000000-0005-0000-0000-000048100000}"/>
    <cellStyle name="Comma 5 6 2 2 2 3" xfId="1925" xr:uid="{00000000-0005-0000-0000-000049100000}"/>
    <cellStyle name="Comma 5 6 2 2 2 3 2" xfId="5274" xr:uid="{00000000-0005-0000-0000-00004A100000}"/>
    <cellStyle name="Comma 5 6 2 2 2 3 2 2" xfId="10588" xr:uid="{00000000-0005-0000-0000-00004B100000}"/>
    <cellStyle name="Comma 5 6 2 2 2 3 3" xfId="7930" xr:uid="{00000000-0005-0000-0000-00004C100000}"/>
    <cellStyle name="Comma 5 6 2 2 2 4" xfId="2846" xr:uid="{00000000-0005-0000-0000-00004D100000}"/>
    <cellStyle name="Comma 5 6 2 2 2 4 2" xfId="6151" xr:uid="{00000000-0005-0000-0000-00004E100000}"/>
    <cellStyle name="Comma 5 6 2 2 2 4 2 2" xfId="11465" xr:uid="{00000000-0005-0000-0000-00004F100000}"/>
    <cellStyle name="Comma 5 6 2 2 2 4 3" xfId="8807" xr:uid="{00000000-0005-0000-0000-000050100000}"/>
    <cellStyle name="Comma 5 6 2 2 2 5" xfId="4138" xr:uid="{00000000-0005-0000-0000-000051100000}"/>
    <cellStyle name="Comma 5 6 2 2 2 5 2" xfId="9711" xr:uid="{00000000-0005-0000-0000-000052100000}"/>
    <cellStyle name="Comma 5 6 2 2 2 6" xfId="7053" xr:uid="{00000000-0005-0000-0000-000053100000}"/>
    <cellStyle name="Comma 5 6 2 2 3" xfId="1109" xr:uid="{00000000-0005-0000-0000-000054100000}"/>
    <cellStyle name="Comma 5 6 2 2 3 2" xfId="2163" xr:uid="{00000000-0005-0000-0000-000055100000}"/>
    <cellStyle name="Comma 5 6 2 2 3 2 2" xfId="5510" xr:uid="{00000000-0005-0000-0000-000056100000}"/>
    <cellStyle name="Comma 5 6 2 2 3 2 2 2" xfId="10824" xr:uid="{00000000-0005-0000-0000-000057100000}"/>
    <cellStyle name="Comma 5 6 2 2 3 2 3" xfId="8166" xr:uid="{00000000-0005-0000-0000-000058100000}"/>
    <cellStyle name="Comma 5 6 2 2 3 3" xfId="3084" xr:uid="{00000000-0005-0000-0000-000059100000}"/>
    <cellStyle name="Comma 5 6 2 2 3 3 2" xfId="6387" xr:uid="{00000000-0005-0000-0000-00005A100000}"/>
    <cellStyle name="Comma 5 6 2 2 3 3 2 2" xfId="11701" xr:uid="{00000000-0005-0000-0000-00005B100000}"/>
    <cellStyle name="Comma 5 6 2 2 3 3 3" xfId="9043" xr:uid="{00000000-0005-0000-0000-00005C100000}"/>
    <cellStyle name="Comma 5 6 2 2 3 4" xfId="4501" xr:uid="{00000000-0005-0000-0000-00005D100000}"/>
    <cellStyle name="Comma 5 6 2 2 3 4 2" xfId="9947" xr:uid="{00000000-0005-0000-0000-00005E100000}"/>
    <cellStyle name="Comma 5 6 2 2 3 5" xfId="7289" xr:uid="{00000000-0005-0000-0000-00005F100000}"/>
    <cellStyle name="Comma 5 6 2 2 4" xfId="1725" xr:uid="{00000000-0005-0000-0000-000060100000}"/>
    <cellStyle name="Comma 5 6 2 2 4 2" xfId="5074" xr:uid="{00000000-0005-0000-0000-000061100000}"/>
    <cellStyle name="Comma 5 6 2 2 4 2 2" xfId="10388" xr:uid="{00000000-0005-0000-0000-000062100000}"/>
    <cellStyle name="Comma 5 6 2 2 4 3" xfId="7730" xr:uid="{00000000-0005-0000-0000-000063100000}"/>
    <cellStyle name="Comma 5 6 2 2 5" xfId="2646" xr:uid="{00000000-0005-0000-0000-000064100000}"/>
    <cellStyle name="Comma 5 6 2 2 5 2" xfId="5951" xr:uid="{00000000-0005-0000-0000-000065100000}"/>
    <cellStyle name="Comma 5 6 2 2 5 2 2" xfId="11265" xr:uid="{00000000-0005-0000-0000-000066100000}"/>
    <cellStyle name="Comma 5 6 2 2 5 3" xfId="8607" xr:uid="{00000000-0005-0000-0000-000067100000}"/>
    <cellStyle name="Comma 5 6 2 2 6" xfId="3816" xr:uid="{00000000-0005-0000-0000-000068100000}"/>
    <cellStyle name="Comma 5 6 2 2 6 2" xfId="9511" xr:uid="{00000000-0005-0000-0000-000069100000}"/>
    <cellStyle name="Comma 5 6 2 2 7" xfId="6853" xr:uid="{00000000-0005-0000-0000-00006A100000}"/>
    <cellStyle name="Comma 5 6 2 3" xfId="595" xr:uid="{00000000-0005-0000-0000-00006B100000}"/>
    <cellStyle name="Comma 5 6 2 3 2" xfId="1282" xr:uid="{00000000-0005-0000-0000-00006C100000}"/>
    <cellStyle name="Comma 5 6 2 3 2 2" xfId="2274" xr:uid="{00000000-0005-0000-0000-00006D100000}"/>
    <cellStyle name="Comma 5 6 2 3 2 2 2" xfId="5621" xr:uid="{00000000-0005-0000-0000-00006E100000}"/>
    <cellStyle name="Comma 5 6 2 3 2 2 2 2" xfId="10935" xr:uid="{00000000-0005-0000-0000-00006F100000}"/>
    <cellStyle name="Comma 5 6 2 3 2 2 3" xfId="8277" xr:uid="{00000000-0005-0000-0000-000070100000}"/>
    <cellStyle name="Comma 5 6 2 3 2 3" xfId="3195" xr:uid="{00000000-0005-0000-0000-000071100000}"/>
    <cellStyle name="Comma 5 6 2 3 2 3 2" xfId="6498" xr:uid="{00000000-0005-0000-0000-000072100000}"/>
    <cellStyle name="Comma 5 6 2 3 2 3 2 2" xfId="11812" xr:uid="{00000000-0005-0000-0000-000073100000}"/>
    <cellStyle name="Comma 5 6 2 3 2 3 3" xfId="9154" xr:uid="{00000000-0005-0000-0000-000074100000}"/>
    <cellStyle name="Comma 5 6 2 3 2 4" xfId="4674" xr:uid="{00000000-0005-0000-0000-000075100000}"/>
    <cellStyle name="Comma 5 6 2 3 2 4 2" xfId="10058" xr:uid="{00000000-0005-0000-0000-000076100000}"/>
    <cellStyle name="Comma 5 6 2 3 2 5" xfId="7400" xr:uid="{00000000-0005-0000-0000-000077100000}"/>
    <cellStyle name="Comma 5 6 2 3 3" xfId="1836" xr:uid="{00000000-0005-0000-0000-000078100000}"/>
    <cellStyle name="Comma 5 6 2 3 3 2" xfId="5185" xr:uid="{00000000-0005-0000-0000-000079100000}"/>
    <cellStyle name="Comma 5 6 2 3 3 2 2" xfId="10499" xr:uid="{00000000-0005-0000-0000-00007A100000}"/>
    <cellStyle name="Comma 5 6 2 3 3 3" xfId="7841" xr:uid="{00000000-0005-0000-0000-00007B100000}"/>
    <cellStyle name="Comma 5 6 2 3 4" xfId="2757" xr:uid="{00000000-0005-0000-0000-00007C100000}"/>
    <cellStyle name="Comma 5 6 2 3 4 2" xfId="6062" xr:uid="{00000000-0005-0000-0000-00007D100000}"/>
    <cellStyle name="Comma 5 6 2 3 4 2 2" xfId="11376" xr:uid="{00000000-0005-0000-0000-00007E100000}"/>
    <cellStyle name="Comma 5 6 2 3 4 3" xfId="8718" xr:uid="{00000000-0005-0000-0000-00007F100000}"/>
    <cellStyle name="Comma 5 6 2 3 5" xfId="3989" xr:uid="{00000000-0005-0000-0000-000080100000}"/>
    <cellStyle name="Comma 5 6 2 3 5 2" xfId="9622" xr:uid="{00000000-0005-0000-0000-000081100000}"/>
    <cellStyle name="Comma 5 6 2 3 6" xfId="6964" xr:uid="{00000000-0005-0000-0000-000082100000}"/>
    <cellStyle name="Comma 5 6 2 4" xfId="960" xr:uid="{00000000-0005-0000-0000-000083100000}"/>
    <cellStyle name="Comma 5 6 2 4 2" xfId="2074" xr:uid="{00000000-0005-0000-0000-000084100000}"/>
    <cellStyle name="Comma 5 6 2 4 2 2" xfId="5421" xr:uid="{00000000-0005-0000-0000-000085100000}"/>
    <cellStyle name="Comma 5 6 2 4 2 2 2" xfId="10735" xr:uid="{00000000-0005-0000-0000-000086100000}"/>
    <cellStyle name="Comma 5 6 2 4 2 3" xfId="8077" xr:uid="{00000000-0005-0000-0000-000087100000}"/>
    <cellStyle name="Comma 5 6 2 4 3" xfId="2995" xr:uid="{00000000-0005-0000-0000-000088100000}"/>
    <cellStyle name="Comma 5 6 2 4 3 2" xfId="6298" xr:uid="{00000000-0005-0000-0000-000089100000}"/>
    <cellStyle name="Comma 5 6 2 4 3 2 2" xfId="11612" xr:uid="{00000000-0005-0000-0000-00008A100000}"/>
    <cellStyle name="Comma 5 6 2 4 3 3" xfId="8954" xr:uid="{00000000-0005-0000-0000-00008B100000}"/>
    <cellStyle name="Comma 5 6 2 4 4" xfId="4352" xr:uid="{00000000-0005-0000-0000-00008C100000}"/>
    <cellStyle name="Comma 5 6 2 4 4 2" xfId="9858" xr:uid="{00000000-0005-0000-0000-00008D100000}"/>
    <cellStyle name="Comma 5 6 2 4 5" xfId="7200" xr:uid="{00000000-0005-0000-0000-00008E100000}"/>
    <cellStyle name="Comma 5 6 2 5" xfId="1635" xr:uid="{00000000-0005-0000-0000-00008F100000}"/>
    <cellStyle name="Comma 5 6 2 5 2" xfId="4985" xr:uid="{00000000-0005-0000-0000-000090100000}"/>
    <cellStyle name="Comma 5 6 2 5 2 2" xfId="10299" xr:uid="{00000000-0005-0000-0000-000091100000}"/>
    <cellStyle name="Comma 5 6 2 5 3" xfId="7641" xr:uid="{00000000-0005-0000-0000-000092100000}"/>
    <cellStyle name="Comma 5 6 2 6" xfId="2556" xr:uid="{00000000-0005-0000-0000-000093100000}"/>
    <cellStyle name="Comma 5 6 2 6 2" xfId="5862" xr:uid="{00000000-0005-0000-0000-000094100000}"/>
    <cellStyle name="Comma 5 6 2 6 2 2" xfId="11176" xr:uid="{00000000-0005-0000-0000-000095100000}"/>
    <cellStyle name="Comma 5 6 2 6 3" xfId="8518" xr:uid="{00000000-0005-0000-0000-000096100000}"/>
    <cellStyle name="Comma 5 6 2 7" xfId="3667" xr:uid="{00000000-0005-0000-0000-000097100000}"/>
    <cellStyle name="Comma 5 6 2 7 2" xfId="9422" xr:uid="{00000000-0005-0000-0000-000098100000}"/>
    <cellStyle name="Comma 5 6 2 8" xfId="6759" xr:uid="{00000000-0005-0000-0000-000099100000}"/>
    <cellStyle name="Comma 5 6 3" xfId="229" xr:uid="{00000000-0005-0000-0000-00009A100000}"/>
    <cellStyle name="Comma 5 6 3 10" xfId="6762" xr:uid="{00000000-0005-0000-0000-00009B100000}"/>
    <cellStyle name="Comma 5 6 3 2" xfId="238" xr:uid="{00000000-0005-0000-0000-00009C100000}"/>
    <cellStyle name="Comma 5 6 3 2 2" xfId="432" xr:uid="{00000000-0005-0000-0000-00009D100000}"/>
    <cellStyle name="Comma 5 6 3 2 2 2" xfId="755" xr:uid="{00000000-0005-0000-0000-00009E100000}"/>
    <cellStyle name="Comma 5 6 3 2 2 2 2" xfId="1442" xr:uid="{00000000-0005-0000-0000-00009F100000}"/>
    <cellStyle name="Comma 5 6 3 2 2 2 2 2" xfId="2374" xr:uid="{00000000-0005-0000-0000-0000A0100000}"/>
    <cellStyle name="Comma 5 6 3 2 2 2 2 2 2" xfId="5721" xr:uid="{00000000-0005-0000-0000-0000A1100000}"/>
    <cellStyle name="Comma 5 6 3 2 2 2 2 2 2 2" xfId="11035" xr:uid="{00000000-0005-0000-0000-0000A2100000}"/>
    <cellStyle name="Comma 5 6 3 2 2 2 2 2 3" xfId="8377" xr:uid="{00000000-0005-0000-0000-0000A3100000}"/>
    <cellStyle name="Comma 5 6 3 2 2 2 2 3" xfId="3295" xr:uid="{00000000-0005-0000-0000-0000A4100000}"/>
    <cellStyle name="Comma 5 6 3 2 2 2 2 3 2" xfId="6598" xr:uid="{00000000-0005-0000-0000-0000A5100000}"/>
    <cellStyle name="Comma 5 6 3 2 2 2 2 3 2 2" xfId="11912" xr:uid="{00000000-0005-0000-0000-0000A6100000}"/>
    <cellStyle name="Comma 5 6 3 2 2 2 2 3 3" xfId="9254" xr:uid="{00000000-0005-0000-0000-0000A7100000}"/>
    <cellStyle name="Comma 5 6 3 2 2 2 2 4" xfId="4834" xr:uid="{00000000-0005-0000-0000-0000A8100000}"/>
    <cellStyle name="Comma 5 6 3 2 2 2 2 4 2" xfId="10158" xr:uid="{00000000-0005-0000-0000-0000A9100000}"/>
    <cellStyle name="Comma 5 6 3 2 2 2 2 5" xfId="7500" xr:uid="{00000000-0005-0000-0000-0000AA100000}"/>
    <cellStyle name="Comma 5 6 3 2 2 2 3" xfId="1936" xr:uid="{00000000-0005-0000-0000-0000AB100000}"/>
    <cellStyle name="Comma 5 6 3 2 2 2 3 2" xfId="5285" xr:uid="{00000000-0005-0000-0000-0000AC100000}"/>
    <cellStyle name="Comma 5 6 3 2 2 2 3 2 2" xfId="10599" xr:uid="{00000000-0005-0000-0000-0000AD100000}"/>
    <cellStyle name="Comma 5 6 3 2 2 2 3 3" xfId="7941" xr:uid="{00000000-0005-0000-0000-0000AE100000}"/>
    <cellStyle name="Comma 5 6 3 2 2 2 4" xfId="2857" xr:uid="{00000000-0005-0000-0000-0000AF100000}"/>
    <cellStyle name="Comma 5 6 3 2 2 2 4 2" xfId="6162" xr:uid="{00000000-0005-0000-0000-0000B0100000}"/>
    <cellStyle name="Comma 5 6 3 2 2 2 4 2 2" xfId="11476" xr:uid="{00000000-0005-0000-0000-0000B1100000}"/>
    <cellStyle name="Comma 5 6 3 2 2 2 4 3" xfId="8818" xr:uid="{00000000-0005-0000-0000-0000B2100000}"/>
    <cellStyle name="Comma 5 6 3 2 2 2 5" xfId="4149" xr:uid="{00000000-0005-0000-0000-0000B3100000}"/>
    <cellStyle name="Comma 5 6 3 2 2 2 5 2" xfId="9722" xr:uid="{00000000-0005-0000-0000-0000B4100000}"/>
    <cellStyle name="Comma 5 6 3 2 2 2 6" xfId="7064" xr:uid="{00000000-0005-0000-0000-0000B5100000}"/>
    <cellStyle name="Comma 5 6 3 2 2 3" xfId="1120" xr:uid="{00000000-0005-0000-0000-0000B6100000}"/>
    <cellStyle name="Comma 5 6 3 2 2 3 2" xfId="2174" xr:uid="{00000000-0005-0000-0000-0000B7100000}"/>
    <cellStyle name="Comma 5 6 3 2 2 3 2 2" xfId="5521" xr:uid="{00000000-0005-0000-0000-0000B8100000}"/>
    <cellStyle name="Comma 5 6 3 2 2 3 2 2 2" xfId="10835" xr:uid="{00000000-0005-0000-0000-0000B9100000}"/>
    <cellStyle name="Comma 5 6 3 2 2 3 2 3" xfId="8177" xr:uid="{00000000-0005-0000-0000-0000BA100000}"/>
    <cellStyle name="Comma 5 6 3 2 2 3 3" xfId="3095" xr:uid="{00000000-0005-0000-0000-0000BB100000}"/>
    <cellStyle name="Comma 5 6 3 2 2 3 3 2" xfId="6398" xr:uid="{00000000-0005-0000-0000-0000BC100000}"/>
    <cellStyle name="Comma 5 6 3 2 2 3 3 2 2" xfId="11712" xr:uid="{00000000-0005-0000-0000-0000BD100000}"/>
    <cellStyle name="Comma 5 6 3 2 2 3 3 3" xfId="9054" xr:uid="{00000000-0005-0000-0000-0000BE100000}"/>
    <cellStyle name="Comma 5 6 3 2 2 3 4" xfId="4512" xr:uid="{00000000-0005-0000-0000-0000BF100000}"/>
    <cellStyle name="Comma 5 6 3 2 2 3 4 2" xfId="9958" xr:uid="{00000000-0005-0000-0000-0000C0100000}"/>
    <cellStyle name="Comma 5 6 3 2 2 3 5" xfId="7300" xr:uid="{00000000-0005-0000-0000-0000C1100000}"/>
    <cellStyle name="Comma 5 6 3 2 2 4" xfId="1736" xr:uid="{00000000-0005-0000-0000-0000C2100000}"/>
    <cellStyle name="Comma 5 6 3 2 2 4 2" xfId="5085" xr:uid="{00000000-0005-0000-0000-0000C3100000}"/>
    <cellStyle name="Comma 5 6 3 2 2 4 2 2" xfId="10399" xr:uid="{00000000-0005-0000-0000-0000C4100000}"/>
    <cellStyle name="Comma 5 6 3 2 2 4 3" xfId="7741" xr:uid="{00000000-0005-0000-0000-0000C5100000}"/>
    <cellStyle name="Comma 5 6 3 2 2 5" xfId="2657" xr:uid="{00000000-0005-0000-0000-0000C6100000}"/>
    <cellStyle name="Comma 5 6 3 2 2 5 2" xfId="5962" xr:uid="{00000000-0005-0000-0000-0000C7100000}"/>
    <cellStyle name="Comma 5 6 3 2 2 5 2 2" xfId="11276" xr:uid="{00000000-0005-0000-0000-0000C8100000}"/>
    <cellStyle name="Comma 5 6 3 2 2 5 3" xfId="8618" xr:uid="{00000000-0005-0000-0000-0000C9100000}"/>
    <cellStyle name="Comma 5 6 3 2 2 6" xfId="3827" xr:uid="{00000000-0005-0000-0000-0000CA100000}"/>
    <cellStyle name="Comma 5 6 3 2 2 6 2" xfId="9522" xr:uid="{00000000-0005-0000-0000-0000CB100000}"/>
    <cellStyle name="Comma 5 6 3 2 2 7" xfId="6864" xr:uid="{00000000-0005-0000-0000-0000CC100000}"/>
    <cellStyle name="Comma 5 6 3 2 3" xfId="606" xr:uid="{00000000-0005-0000-0000-0000CD100000}"/>
    <cellStyle name="Comma 5 6 3 2 3 2" xfId="1293" xr:uid="{00000000-0005-0000-0000-0000CE100000}"/>
    <cellStyle name="Comma 5 6 3 2 3 2 2" xfId="2285" xr:uid="{00000000-0005-0000-0000-0000CF100000}"/>
    <cellStyle name="Comma 5 6 3 2 3 2 2 2" xfId="5632" xr:uid="{00000000-0005-0000-0000-0000D0100000}"/>
    <cellStyle name="Comma 5 6 3 2 3 2 2 2 2" xfId="10946" xr:uid="{00000000-0005-0000-0000-0000D1100000}"/>
    <cellStyle name="Comma 5 6 3 2 3 2 2 3" xfId="8288" xr:uid="{00000000-0005-0000-0000-0000D2100000}"/>
    <cellStyle name="Comma 5 6 3 2 3 2 3" xfId="3206" xr:uid="{00000000-0005-0000-0000-0000D3100000}"/>
    <cellStyle name="Comma 5 6 3 2 3 2 3 2" xfId="6509" xr:uid="{00000000-0005-0000-0000-0000D4100000}"/>
    <cellStyle name="Comma 5 6 3 2 3 2 3 2 2" xfId="11823" xr:uid="{00000000-0005-0000-0000-0000D5100000}"/>
    <cellStyle name="Comma 5 6 3 2 3 2 3 3" xfId="9165" xr:uid="{00000000-0005-0000-0000-0000D6100000}"/>
    <cellStyle name="Comma 5 6 3 2 3 2 4" xfId="4685" xr:uid="{00000000-0005-0000-0000-0000D7100000}"/>
    <cellStyle name="Comma 5 6 3 2 3 2 4 2" xfId="10069" xr:uid="{00000000-0005-0000-0000-0000D8100000}"/>
    <cellStyle name="Comma 5 6 3 2 3 2 5" xfId="7411" xr:uid="{00000000-0005-0000-0000-0000D9100000}"/>
    <cellStyle name="Comma 5 6 3 2 3 3" xfId="1847" xr:uid="{00000000-0005-0000-0000-0000DA100000}"/>
    <cellStyle name="Comma 5 6 3 2 3 3 2" xfId="5196" xr:uid="{00000000-0005-0000-0000-0000DB100000}"/>
    <cellStyle name="Comma 5 6 3 2 3 3 2 2" xfId="10510" xr:uid="{00000000-0005-0000-0000-0000DC100000}"/>
    <cellStyle name="Comma 5 6 3 2 3 3 3" xfId="7852" xr:uid="{00000000-0005-0000-0000-0000DD100000}"/>
    <cellStyle name="Comma 5 6 3 2 3 4" xfId="2768" xr:uid="{00000000-0005-0000-0000-0000DE100000}"/>
    <cellStyle name="Comma 5 6 3 2 3 4 2" xfId="6073" xr:uid="{00000000-0005-0000-0000-0000DF100000}"/>
    <cellStyle name="Comma 5 6 3 2 3 4 2 2" xfId="11387" xr:uid="{00000000-0005-0000-0000-0000E0100000}"/>
    <cellStyle name="Comma 5 6 3 2 3 4 3" xfId="8729" xr:uid="{00000000-0005-0000-0000-0000E1100000}"/>
    <cellStyle name="Comma 5 6 3 2 3 5" xfId="4000" xr:uid="{00000000-0005-0000-0000-0000E2100000}"/>
    <cellStyle name="Comma 5 6 3 2 3 5 2" xfId="9633" xr:uid="{00000000-0005-0000-0000-0000E3100000}"/>
    <cellStyle name="Comma 5 6 3 2 3 6" xfId="6975" xr:uid="{00000000-0005-0000-0000-0000E4100000}"/>
    <cellStyle name="Comma 5 6 3 2 4" xfId="971" xr:uid="{00000000-0005-0000-0000-0000E5100000}"/>
    <cellStyle name="Comma 5 6 3 2 4 2" xfId="2085" xr:uid="{00000000-0005-0000-0000-0000E6100000}"/>
    <cellStyle name="Comma 5 6 3 2 4 2 2" xfId="5432" xr:uid="{00000000-0005-0000-0000-0000E7100000}"/>
    <cellStyle name="Comma 5 6 3 2 4 2 2 2" xfId="10746" xr:uid="{00000000-0005-0000-0000-0000E8100000}"/>
    <cellStyle name="Comma 5 6 3 2 4 2 3" xfId="8088" xr:uid="{00000000-0005-0000-0000-0000E9100000}"/>
    <cellStyle name="Comma 5 6 3 2 4 3" xfId="3006" xr:uid="{00000000-0005-0000-0000-0000EA100000}"/>
    <cellStyle name="Comma 5 6 3 2 4 3 2" xfId="6309" xr:uid="{00000000-0005-0000-0000-0000EB100000}"/>
    <cellStyle name="Comma 5 6 3 2 4 3 2 2" xfId="11623" xr:uid="{00000000-0005-0000-0000-0000EC100000}"/>
    <cellStyle name="Comma 5 6 3 2 4 3 3" xfId="8965" xr:uid="{00000000-0005-0000-0000-0000ED100000}"/>
    <cellStyle name="Comma 5 6 3 2 4 4" xfId="4363" xr:uid="{00000000-0005-0000-0000-0000EE100000}"/>
    <cellStyle name="Comma 5 6 3 2 4 4 2" xfId="9869" xr:uid="{00000000-0005-0000-0000-0000EF100000}"/>
    <cellStyle name="Comma 5 6 3 2 4 5" xfId="7211" xr:uid="{00000000-0005-0000-0000-0000F0100000}"/>
    <cellStyle name="Comma 5 6 3 2 5" xfId="1646" xr:uid="{00000000-0005-0000-0000-0000F1100000}"/>
    <cellStyle name="Comma 5 6 3 2 5 2" xfId="4996" xr:uid="{00000000-0005-0000-0000-0000F2100000}"/>
    <cellStyle name="Comma 5 6 3 2 5 2 2" xfId="10310" xr:uid="{00000000-0005-0000-0000-0000F3100000}"/>
    <cellStyle name="Comma 5 6 3 2 5 3" xfId="7652" xr:uid="{00000000-0005-0000-0000-0000F4100000}"/>
    <cellStyle name="Comma 5 6 3 2 6" xfId="2567" xr:uid="{00000000-0005-0000-0000-0000F5100000}"/>
    <cellStyle name="Comma 5 6 3 2 6 2" xfId="5873" xr:uid="{00000000-0005-0000-0000-0000F6100000}"/>
    <cellStyle name="Comma 5 6 3 2 6 2 2" xfId="11187" xr:uid="{00000000-0005-0000-0000-0000F7100000}"/>
    <cellStyle name="Comma 5 6 3 2 6 3" xfId="8529" xr:uid="{00000000-0005-0000-0000-0000F8100000}"/>
    <cellStyle name="Comma 5 6 3 2 7" xfId="3678" xr:uid="{00000000-0005-0000-0000-0000F9100000}"/>
    <cellStyle name="Comma 5 6 3 2 7 2" xfId="9433" xr:uid="{00000000-0005-0000-0000-0000FA100000}"/>
    <cellStyle name="Comma 5 6 3 2 8" xfId="6770" xr:uid="{00000000-0005-0000-0000-0000FB100000}"/>
    <cellStyle name="Comma 5 6 3 3" xfId="285" xr:uid="{00000000-0005-0000-0000-0000FC100000}"/>
    <cellStyle name="Comma 5 6 3 3 2" xfId="292" xr:uid="{00000000-0005-0000-0000-0000FD100000}"/>
    <cellStyle name="Comma 5 6 3 3 2 2" xfId="299" xr:uid="{00000000-0005-0000-0000-0000FE100000}"/>
    <cellStyle name="Comma 5 6 3 3 2 2 2" xfId="468" xr:uid="{00000000-0005-0000-0000-0000FF100000}"/>
    <cellStyle name="Comma 5 6 3 3 2 2 2 2" xfId="820" xr:uid="{00000000-0005-0000-0000-000000110000}"/>
    <cellStyle name="Comma 5 6 3 3 2 2 2 2 2" xfId="1506" xr:uid="{00000000-0005-0000-0000-000001110000}"/>
    <cellStyle name="Comma 5 6 3 3 2 2 2 2 2 2" xfId="2432" xr:uid="{00000000-0005-0000-0000-000002110000}"/>
    <cellStyle name="Comma 5 6 3 3 2 2 2 2 2 2 2" xfId="5779" xr:uid="{00000000-0005-0000-0000-000003110000}"/>
    <cellStyle name="Comma 5 6 3 3 2 2 2 2 2 2 2 2" xfId="11093" xr:uid="{00000000-0005-0000-0000-000004110000}"/>
    <cellStyle name="Comma 5 6 3 3 2 2 2 2 2 2 3" xfId="8435" xr:uid="{00000000-0005-0000-0000-000005110000}"/>
    <cellStyle name="Comma 5 6 3 3 2 2 2 2 2 3" xfId="3353" xr:uid="{00000000-0005-0000-0000-000006110000}"/>
    <cellStyle name="Comma 5 6 3 3 2 2 2 2 2 3 2" xfId="6656" xr:uid="{00000000-0005-0000-0000-000007110000}"/>
    <cellStyle name="Comma 5 6 3 3 2 2 2 2 2 3 2 2" xfId="11970" xr:uid="{00000000-0005-0000-0000-000008110000}"/>
    <cellStyle name="Comma 5 6 3 3 2 2 2 2 2 3 3" xfId="9312" xr:uid="{00000000-0005-0000-0000-000009110000}"/>
    <cellStyle name="Comma 5 6 3 3 2 2 2 2 2 4" xfId="4898" xr:uid="{00000000-0005-0000-0000-00000A110000}"/>
    <cellStyle name="Comma 5 6 3 3 2 2 2 2 2 4 2" xfId="10216" xr:uid="{00000000-0005-0000-0000-00000B110000}"/>
    <cellStyle name="Comma 5 6 3 3 2 2 2 2 2 5" xfId="7558" xr:uid="{00000000-0005-0000-0000-00000C110000}"/>
    <cellStyle name="Comma 5 6 3 3 2 2 2 2 3" xfId="1995" xr:uid="{00000000-0005-0000-0000-00000D110000}"/>
    <cellStyle name="Comma 5 6 3 3 2 2 2 2 3 2" xfId="5343" xr:uid="{00000000-0005-0000-0000-00000E110000}"/>
    <cellStyle name="Comma 5 6 3 3 2 2 2 2 3 2 2" xfId="10657" xr:uid="{00000000-0005-0000-0000-00000F110000}"/>
    <cellStyle name="Comma 5 6 3 3 2 2 2 2 3 3" xfId="7999" xr:uid="{00000000-0005-0000-0000-000010110000}"/>
    <cellStyle name="Comma 5 6 3 3 2 2 2 2 4" xfId="2916" xr:uid="{00000000-0005-0000-0000-000011110000}"/>
    <cellStyle name="Comma 5 6 3 3 2 2 2 2 4 2" xfId="6220" xr:uid="{00000000-0005-0000-0000-000012110000}"/>
    <cellStyle name="Comma 5 6 3 3 2 2 2 2 4 2 2" xfId="11534" xr:uid="{00000000-0005-0000-0000-000013110000}"/>
    <cellStyle name="Comma 5 6 3 3 2 2 2 2 4 3" xfId="8876" xr:uid="{00000000-0005-0000-0000-000014110000}"/>
    <cellStyle name="Comma 5 6 3 3 2 2 2 2 5" xfId="4213" xr:uid="{00000000-0005-0000-0000-000015110000}"/>
    <cellStyle name="Comma 5 6 3 3 2 2 2 2 5 2" xfId="9780" xr:uid="{00000000-0005-0000-0000-000016110000}"/>
    <cellStyle name="Comma 5 6 3 3 2 2 2 2 6" xfId="7122" xr:uid="{00000000-0005-0000-0000-000017110000}"/>
    <cellStyle name="Comma 5 6 3 3 2 2 2 3" xfId="839" xr:uid="{00000000-0005-0000-0000-000018110000}"/>
    <cellStyle name="Comma 5 6 3 3 2 2 2 3 2" xfId="1524" xr:uid="{00000000-0005-0000-0000-000019110000}"/>
    <cellStyle name="Comma 5 6 3 3 2 2 2 3 2 2" xfId="2446" xr:uid="{00000000-0005-0000-0000-00001A110000}"/>
    <cellStyle name="Comma 5 6 3 3 2 2 2 3 2 2 2" xfId="5793" xr:uid="{00000000-0005-0000-0000-00001B110000}"/>
    <cellStyle name="Comma 5 6 3 3 2 2 2 3 2 2 2 2" xfId="11107" xr:uid="{00000000-0005-0000-0000-00001C110000}"/>
    <cellStyle name="Comma 5 6 3 3 2 2 2 3 2 2 3" xfId="8449" xr:uid="{00000000-0005-0000-0000-00001D110000}"/>
    <cellStyle name="Comma 5 6 3 3 2 2 2 3 2 3" xfId="3367" xr:uid="{00000000-0005-0000-0000-00001E110000}"/>
    <cellStyle name="Comma 5 6 3 3 2 2 2 3 2 3 2" xfId="6670" xr:uid="{00000000-0005-0000-0000-00001F110000}"/>
    <cellStyle name="Comma 5 6 3 3 2 2 2 3 2 3 2 2" xfId="11984" xr:uid="{00000000-0005-0000-0000-000020110000}"/>
    <cellStyle name="Comma 5 6 3 3 2 2 2 3 2 3 3" xfId="9326" xr:uid="{00000000-0005-0000-0000-000021110000}"/>
    <cellStyle name="Comma 5 6 3 3 2 2 2 3 2 4" xfId="4916" xr:uid="{00000000-0005-0000-0000-000022110000}"/>
    <cellStyle name="Comma 5 6 3 3 2 2 2 3 2 4 2" xfId="10230" xr:uid="{00000000-0005-0000-0000-000023110000}"/>
    <cellStyle name="Comma 5 6 3 3 2 2 2 3 2 5" xfId="7572" xr:uid="{00000000-0005-0000-0000-000024110000}"/>
    <cellStyle name="Comma 5 6 3 3 2 2 2 3 3" xfId="2010" xr:uid="{00000000-0005-0000-0000-000025110000}"/>
    <cellStyle name="Comma 5 6 3 3 2 2 2 3 3 2" xfId="5357" xr:uid="{00000000-0005-0000-0000-000026110000}"/>
    <cellStyle name="Comma 5 6 3 3 2 2 2 3 3 2 2" xfId="10671" xr:uid="{00000000-0005-0000-0000-000027110000}"/>
    <cellStyle name="Comma 5 6 3 3 2 2 2 3 3 3" xfId="8013" xr:uid="{00000000-0005-0000-0000-000028110000}"/>
    <cellStyle name="Comma 5 6 3 3 2 2 2 3 4" xfId="2931" xr:uid="{00000000-0005-0000-0000-000029110000}"/>
    <cellStyle name="Comma 5 6 3 3 2 2 2 3 4 2" xfId="6234" xr:uid="{00000000-0005-0000-0000-00002A110000}"/>
    <cellStyle name="Comma 5 6 3 3 2 2 2 3 4 2 2" xfId="11548" xr:uid="{00000000-0005-0000-0000-00002B110000}"/>
    <cellStyle name="Comma 5 6 3 3 2 2 2 3 4 3" xfId="8890" xr:uid="{00000000-0005-0000-0000-00002C110000}"/>
    <cellStyle name="Comma 5 6 3 3 2 2 2 3 5" xfId="4231" xr:uid="{00000000-0005-0000-0000-00002D110000}"/>
    <cellStyle name="Comma 5 6 3 3 2 2 2 3 5 2" xfId="9794" xr:uid="{00000000-0005-0000-0000-00002E110000}"/>
    <cellStyle name="Comma 5 6 3 3 2 2 2 3 6" xfId="7136" xr:uid="{00000000-0005-0000-0000-00002F110000}"/>
    <cellStyle name="Comma 5 6 3 3 2 2 2 4" xfId="790" xr:uid="{00000000-0005-0000-0000-000030110000}"/>
    <cellStyle name="Comma 5 6 3 3 2 2 2 4 2" xfId="1477" xr:uid="{00000000-0005-0000-0000-000031110000}"/>
    <cellStyle name="Comma 5 6 3 3 2 2 2 4 2 2" xfId="2405" xr:uid="{00000000-0005-0000-0000-000032110000}"/>
    <cellStyle name="Comma 5 6 3 3 2 2 2 4 2 2 2" xfId="5752" xr:uid="{00000000-0005-0000-0000-000033110000}"/>
    <cellStyle name="Comma 5 6 3 3 2 2 2 4 2 2 2 2" xfId="11066" xr:uid="{00000000-0005-0000-0000-000034110000}"/>
    <cellStyle name="Comma 5 6 3 3 2 2 2 4 2 2 3" xfId="8408" xr:uid="{00000000-0005-0000-0000-000035110000}"/>
    <cellStyle name="Comma 5 6 3 3 2 2 2 4 2 3" xfId="3326" xr:uid="{00000000-0005-0000-0000-000036110000}"/>
    <cellStyle name="Comma 5 6 3 3 2 2 2 4 2 3 2" xfId="6629" xr:uid="{00000000-0005-0000-0000-000037110000}"/>
    <cellStyle name="Comma 5 6 3 3 2 2 2 4 2 3 2 2" xfId="11943" xr:uid="{00000000-0005-0000-0000-000038110000}"/>
    <cellStyle name="Comma 5 6 3 3 2 2 2 4 2 3 3" xfId="9285" xr:uid="{00000000-0005-0000-0000-000039110000}"/>
    <cellStyle name="Comma 5 6 3 3 2 2 2 4 2 4" xfId="4869" xr:uid="{00000000-0005-0000-0000-00003A110000}"/>
    <cellStyle name="Comma 5 6 3 3 2 2 2 4 2 4 2" xfId="10189" xr:uid="{00000000-0005-0000-0000-00003B110000}"/>
    <cellStyle name="Comma 5 6 3 3 2 2 2 4 2 5" xfId="7531" xr:uid="{00000000-0005-0000-0000-00003C110000}"/>
    <cellStyle name="Comma 5 6 3 3 2 2 2 4 3" xfId="1967" xr:uid="{00000000-0005-0000-0000-00003D110000}"/>
    <cellStyle name="Comma 5 6 3 3 2 2 2 4 3 2" xfId="5316" xr:uid="{00000000-0005-0000-0000-00003E110000}"/>
    <cellStyle name="Comma 5 6 3 3 2 2 2 4 3 2 2" xfId="10630" xr:uid="{00000000-0005-0000-0000-00003F110000}"/>
    <cellStyle name="Comma 5 6 3 3 2 2 2 4 3 3" xfId="7972" xr:uid="{00000000-0005-0000-0000-000040110000}"/>
    <cellStyle name="Comma 5 6 3 3 2 2 2 4 4" xfId="2888" xr:uid="{00000000-0005-0000-0000-000041110000}"/>
    <cellStyle name="Comma 5 6 3 3 2 2 2 4 4 2" xfId="6193" xr:uid="{00000000-0005-0000-0000-000042110000}"/>
    <cellStyle name="Comma 5 6 3 3 2 2 2 4 4 2 2" xfId="11507" xr:uid="{00000000-0005-0000-0000-000043110000}"/>
    <cellStyle name="Comma 5 6 3 3 2 2 2 4 4 3" xfId="8849" xr:uid="{00000000-0005-0000-0000-000044110000}"/>
    <cellStyle name="Comma 5 6 3 3 2 2 2 4 5" xfId="4184" xr:uid="{00000000-0005-0000-0000-000045110000}"/>
    <cellStyle name="Comma 5 6 3 3 2 2 2 4 5 2" xfId="9753" xr:uid="{00000000-0005-0000-0000-000046110000}"/>
    <cellStyle name="Comma 5 6 3 3 2 2 2 4 6" xfId="7095" xr:uid="{00000000-0005-0000-0000-000047110000}"/>
    <cellStyle name="Comma 5 6 3 3 2 2 2 5" xfId="1155" xr:uid="{00000000-0005-0000-0000-000048110000}"/>
    <cellStyle name="Comma 5 6 3 3 2 2 2 5 2" xfId="2205" xr:uid="{00000000-0005-0000-0000-000049110000}"/>
    <cellStyle name="Comma 5 6 3 3 2 2 2 5 2 2" xfId="5552" xr:uid="{00000000-0005-0000-0000-00004A110000}"/>
    <cellStyle name="Comma 5 6 3 3 2 2 2 5 2 2 2" xfId="10866" xr:uid="{00000000-0005-0000-0000-00004B110000}"/>
    <cellStyle name="Comma 5 6 3 3 2 2 2 5 2 3" xfId="8208" xr:uid="{00000000-0005-0000-0000-00004C110000}"/>
    <cellStyle name="Comma 5 6 3 3 2 2 2 5 3" xfId="3126" xr:uid="{00000000-0005-0000-0000-00004D110000}"/>
    <cellStyle name="Comma 5 6 3 3 2 2 2 5 3 2" xfId="6429" xr:uid="{00000000-0005-0000-0000-00004E110000}"/>
    <cellStyle name="Comma 5 6 3 3 2 2 2 5 3 2 2" xfId="11743" xr:uid="{00000000-0005-0000-0000-00004F110000}"/>
    <cellStyle name="Comma 5 6 3 3 2 2 2 5 3 3" xfId="9085" xr:uid="{00000000-0005-0000-0000-000050110000}"/>
    <cellStyle name="Comma 5 6 3 3 2 2 2 5 4" xfId="4547" xr:uid="{00000000-0005-0000-0000-000051110000}"/>
    <cellStyle name="Comma 5 6 3 3 2 2 2 5 4 2" xfId="9989" xr:uid="{00000000-0005-0000-0000-000052110000}"/>
    <cellStyle name="Comma 5 6 3 3 2 2 2 5 5" xfId="7331" xr:uid="{00000000-0005-0000-0000-000053110000}"/>
    <cellStyle name="Comma 5 6 3 3 2 2 2 6" xfId="1767" xr:uid="{00000000-0005-0000-0000-000054110000}"/>
    <cellStyle name="Comma 5 6 3 3 2 2 2 6 2" xfId="5116" xr:uid="{00000000-0005-0000-0000-000055110000}"/>
    <cellStyle name="Comma 5 6 3 3 2 2 2 6 2 2" xfId="10430" xr:uid="{00000000-0005-0000-0000-000056110000}"/>
    <cellStyle name="Comma 5 6 3 3 2 2 2 6 3" xfId="7772" xr:uid="{00000000-0005-0000-0000-000057110000}"/>
    <cellStyle name="Comma 5 6 3 3 2 2 2 7" xfId="2688" xr:uid="{00000000-0005-0000-0000-000058110000}"/>
    <cellStyle name="Comma 5 6 3 3 2 2 2 7 2" xfId="5993" xr:uid="{00000000-0005-0000-0000-000059110000}"/>
    <cellStyle name="Comma 5 6 3 3 2 2 2 7 2 2" xfId="11307" xr:uid="{00000000-0005-0000-0000-00005A110000}"/>
    <cellStyle name="Comma 5 6 3 3 2 2 2 7 3" xfId="8649" xr:uid="{00000000-0005-0000-0000-00005B110000}"/>
    <cellStyle name="Comma 5 6 3 3 2 2 2 8" xfId="3862" xr:uid="{00000000-0005-0000-0000-00005C110000}"/>
    <cellStyle name="Comma 5 6 3 3 2 2 2 8 2" xfId="9553" xr:uid="{00000000-0005-0000-0000-00005D110000}"/>
    <cellStyle name="Comma 5 6 3 3 2 2 2 9" xfId="6895" xr:uid="{00000000-0005-0000-0000-00005E110000}"/>
    <cellStyle name="Comma 5 6 3 3 2 2 3" xfId="622" xr:uid="{00000000-0005-0000-0000-00005F110000}"/>
    <cellStyle name="Comma 5 6 3 3 2 2 3 2" xfId="1309" xr:uid="{00000000-0005-0000-0000-000060110000}"/>
    <cellStyle name="Comma 5 6 3 3 2 2 3 2 2" xfId="2299" xr:uid="{00000000-0005-0000-0000-000061110000}"/>
    <cellStyle name="Comma 5 6 3 3 2 2 3 2 2 2" xfId="5646" xr:uid="{00000000-0005-0000-0000-000062110000}"/>
    <cellStyle name="Comma 5 6 3 3 2 2 3 2 2 2 2" xfId="10960" xr:uid="{00000000-0005-0000-0000-000063110000}"/>
    <cellStyle name="Comma 5 6 3 3 2 2 3 2 2 3" xfId="8302" xr:uid="{00000000-0005-0000-0000-000064110000}"/>
    <cellStyle name="Comma 5 6 3 3 2 2 3 2 3" xfId="3220" xr:uid="{00000000-0005-0000-0000-000065110000}"/>
    <cellStyle name="Comma 5 6 3 3 2 2 3 2 3 2" xfId="6523" xr:uid="{00000000-0005-0000-0000-000066110000}"/>
    <cellStyle name="Comma 5 6 3 3 2 2 3 2 3 2 2" xfId="11837" xr:uid="{00000000-0005-0000-0000-000067110000}"/>
    <cellStyle name="Comma 5 6 3 3 2 2 3 2 3 3" xfId="9179" xr:uid="{00000000-0005-0000-0000-000068110000}"/>
    <cellStyle name="Comma 5 6 3 3 2 2 3 2 4" xfId="4701" xr:uid="{00000000-0005-0000-0000-000069110000}"/>
    <cellStyle name="Comma 5 6 3 3 2 2 3 2 4 2" xfId="10083" xr:uid="{00000000-0005-0000-0000-00006A110000}"/>
    <cellStyle name="Comma 5 6 3 3 2 2 3 2 5" xfId="7425" xr:uid="{00000000-0005-0000-0000-00006B110000}"/>
    <cellStyle name="Comma 5 6 3 3 2 2 3 3" xfId="1861" xr:uid="{00000000-0005-0000-0000-00006C110000}"/>
    <cellStyle name="Comma 5 6 3 3 2 2 3 3 2" xfId="5210" xr:uid="{00000000-0005-0000-0000-00006D110000}"/>
    <cellStyle name="Comma 5 6 3 3 2 2 3 3 2 2" xfId="10524" xr:uid="{00000000-0005-0000-0000-00006E110000}"/>
    <cellStyle name="Comma 5 6 3 3 2 2 3 3 3" xfId="7866" xr:uid="{00000000-0005-0000-0000-00006F110000}"/>
    <cellStyle name="Comma 5 6 3 3 2 2 3 4" xfId="2782" xr:uid="{00000000-0005-0000-0000-000070110000}"/>
    <cellStyle name="Comma 5 6 3 3 2 2 3 4 2" xfId="6087" xr:uid="{00000000-0005-0000-0000-000071110000}"/>
    <cellStyle name="Comma 5 6 3 3 2 2 3 4 2 2" xfId="11401" xr:uid="{00000000-0005-0000-0000-000072110000}"/>
    <cellStyle name="Comma 5 6 3 3 2 2 3 4 3" xfId="8743" xr:uid="{00000000-0005-0000-0000-000073110000}"/>
    <cellStyle name="Comma 5 6 3 3 2 2 3 5" xfId="4016" xr:uid="{00000000-0005-0000-0000-000074110000}"/>
    <cellStyle name="Comma 5 6 3 3 2 2 3 5 2" xfId="9647" xr:uid="{00000000-0005-0000-0000-000075110000}"/>
    <cellStyle name="Comma 5 6 3 3 2 2 3 6" xfId="6989" xr:uid="{00000000-0005-0000-0000-000076110000}"/>
    <cellStyle name="Comma 5 6 3 3 2 2 4" xfId="987" xr:uid="{00000000-0005-0000-0000-000077110000}"/>
    <cellStyle name="Comma 5 6 3 3 2 2 4 2" xfId="2099" xr:uid="{00000000-0005-0000-0000-000078110000}"/>
    <cellStyle name="Comma 5 6 3 3 2 2 4 2 2" xfId="5446" xr:uid="{00000000-0005-0000-0000-000079110000}"/>
    <cellStyle name="Comma 5 6 3 3 2 2 4 2 2 2" xfId="10760" xr:uid="{00000000-0005-0000-0000-00007A110000}"/>
    <cellStyle name="Comma 5 6 3 3 2 2 4 2 3" xfId="8102" xr:uid="{00000000-0005-0000-0000-00007B110000}"/>
    <cellStyle name="Comma 5 6 3 3 2 2 4 3" xfId="3020" xr:uid="{00000000-0005-0000-0000-00007C110000}"/>
    <cellStyle name="Comma 5 6 3 3 2 2 4 3 2" xfId="6323" xr:uid="{00000000-0005-0000-0000-00007D110000}"/>
    <cellStyle name="Comma 5 6 3 3 2 2 4 3 2 2" xfId="11637" xr:uid="{00000000-0005-0000-0000-00007E110000}"/>
    <cellStyle name="Comma 5 6 3 3 2 2 4 3 3" xfId="8979" xr:uid="{00000000-0005-0000-0000-00007F110000}"/>
    <cellStyle name="Comma 5 6 3 3 2 2 4 4" xfId="4379" xr:uid="{00000000-0005-0000-0000-000080110000}"/>
    <cellStyle name="Comma 5 6 3 3 2 2 4 4 2" xfId="9883" xr:uid="{00000000-0005-0000-0000-000081110000}"/>
    <cellStyle name="Comma 5 6 3 3 2 2 4 5" xfId="7225" xr:uid="{00000000-0005-0000-0000-000082110000}"/>
    <cellStyle name="Comma 5 6 3 3 2 2 5" xfId="1661" xr:uid="{00000000-0005-0000-0000-000083110000}"/>
    <cellStyle name="Comma 5 6 3 3 2 2 5 2" xfId="5010" xr:uid="{00000000-0005-0000-0000-000084110000}"/>
    <cellStyle name="Comma 5 6 3 3 2 2 5 2 2" xfId="10324" xr:uid="{00000000-0005-0000-0000-000085110000}"/>
    <cellStyle name="Comma 5 6 3 3 2 2 5 3" xfId="7666" xr:uid="{00000000-0005-0000-0000-000086110000}"/>
    <cellStyle name="Comma 5 6 3 3 2 2 6" xfId="2582" xr:uid="{00000000-0005-0000-0000-000087110000}"/>
    <cellStyle name="Comma 5 6 3 3 2 2 6 2" xfId="5887" xr:uid="{00000000-0005-0000-0000-000088110000}"/>
    <cellStyle name="Comma 5 6 3 3 2 2 6 2 2" xfId="11201" xr:uid="{00000000-0005-0000-0000-000089110000}"/>
    <cellStyle name="Comma 5 6 3 3 2 2 6 3" xfId="8543" xr:uid="{00000000-0005-0000-0000-00008A110000}"/>
    <cellStyle name="Comma 5 6 3 3 2 2 7" xfId="3694" xr:uid="{00000000-0005-0000-0000-00008B110000}"/>
    <cellStyle name="Comma 5 6 3 3 2 2 7 2" xfId="9447" xr:uid="{00000000-0005-0000-0000-00008C110000}"/>
    <cellStyle name="Comma 5 6 3 3 2 2 8" xfId="6789" xr:uid="{00000000-0005-0000-0000-00008D110000}"/>
    <cellStyle name="Comma 5 6 3 3 2 3" xfId="442" xr:uid="{00000000-0005-0000-0000-00008E110000}"/>
    <cellStyle name="Comma 5 6 3 3 2 3 2" xfId="765" xr:uid="{00000000-0005-0000-0000-00008F110000}"/>
    <cellStyle name="Comma 5 6 3 3 2 3 2 2" xfId="1452" xr:uid="{00000000-0005-0000-0000-000090110000}"/>
    <cellStyle name="Comma 5 6 3 3 2 3 2 2 2" xfId="2382" xr:uid="{00000000-0005-0000-0000-000091110000}"/>
    <cellStyle name="Comma 5 6 3 3 2 3 2 2 2 2" xfId="5729" xr:uid="{00000000-0005-0000-0000-000092110000}"/>
    <cellStyle name="Comma 5 6 3 3 2 3 2 2 2 2 2" xfId="11043" xr:uid="{00000000-0005-0000-0000-000093110000}"/>
    <cellStyle name="Comma 5 6 3 3 2 3 2 2 2 3" xfId="8385" xr:uid="{00000000-0005-0000-0000-000094110000}"/>
    <cellStyle name="Comma 5 6 3 3 2 3 2 2 3" xfId="3303" xr:uid="{00000000-0005-0000-0000-000095110000}"/>
    <cellStyle name="Comma 5 6 3 3 2 3 2 2 3 2" xfId="6606" xr:uid="{00000000-0005-0000-0000-000096110000}"/>
    <cellStyle name="Comma 5 6 3 3 2 3 2 2 3 2 2" xfId="11920" xr:uid="{00000000-0005-0000-0000-000097110000}"/>
    <cellStyle name="Comma 5 6 3 3 2 3 2 2 3 3" xfId="9262" xr:uid="{00000000-0005-0000-0000-000098110000}"/>
    <cellStyle name="Comma 5 6 3 3 2 3 2 2 4" xfId="4844" xr:uid="{00000000-0005-0000-0000-000099110000}"/>
    <cellStyle name="Comma 5 6 3 3 2 3 2 2 4 2" xfId="10166" xr:uid="{00000000-0005-0000-0000-00009A110000}"/>
    <cellStyle name="Comma 5 6 3 3 2 3 2 2 5" xfId="7508" xr:uid="{00000000-0005-0000-0000-00009B110000}"/>
    <cellStyle name="Comma 5 6 3 3 2 3 2 3" xfId="1944" xr:uid="{00000000-0005-0000-0000-00009C110000}"/>
    <cellStyle name="Comma 5 6 3 3 2 3 2 3 2" xfId="5293" xr:uid="{00000000-0005-0000-0000-00009D110000}"/>
    <cellStyle name="Comma 5 6 3 3 2 3 2 3 2 2" xfId="10607" xr:uid="{00000000-0005-0000-0000-00009E110000}"/>
    <cellStyle name="Comma 5 6 3 3 2 3 2 3 3" xfId="7949" xr:uid="{00000000-0005-0000-0000-00009F110000}"/>
    <cellStyle name="Comma 5 6 3 3 2 3 2 4" xfId="2865" xr:uid="{00000000-0005-0000-0000-0000A0110000}"/>
    <cellStyle name="Comma 5 6 3 3 2 3 2 4 2" xfId="6170" xr:uid="{00000000-0005-0000-0000-0000A1110000}"/>
    <cellStyle name="Comma 5 6 3 3 2 3 2 4 2 2" xfId="11484" xr:uid="{00000000-0005-0000-0000-0000A2110000}"/>
    <cellStyle name="Comma 5 6 3 3 2 3 2 4 3" xfId="8826" xr:uid="{00000000-0005-0000-0000-0000A3110000}"/>
    <cellStyle name="Comma 5 6 3 3 2 3 2 5" xfId="4159" xr:uid="{00000000-0005-0000-0000-0000A4110000}"/>
    <cellStyle name="Comma 5 6 3 3 2 3 2 5 2" xfId="9730" xr:uid="{00000000-0005-0000-0000-0000A5110000}"/>
    <cellStyle name="Comma 5 6 3 3 2 3 2 6" xfId="7072" xr:uid="{00000000-0005-0000-0000-0000A6110000}"/>
    <cellStyle name="Comma 5 6 3 3 2 3 3" xfId="1130" xr:uid="{00000000-0005-0000-0000-0000A7110000}"/>
    <cellStyle name="Comma 5 6 3 3 2 3 3 2" xfId="2182" xr:uid="{00000000-0005-0000-0000-0000A8110000}"/>
    <cellStyle name="Comma 5 6 3 3 2 3 3 2 2" xfId="5529" xr:uid="{00000000-0005-0000-0000-0000A9110000}"/>
    <cellStyle name="Comma 5 6 3 3 2 3 3 2 2 2" xfId="10843" xr:uid="{00000000-0005-0000-0000-0000AA110000}"/>
    <cellStyle name="Comma 5 6 3 3 2 3 3 2 3" xfId="8185" xr:uid="{00000000-0005-0000-0000-0000AB110000}"/>
    <cellStyle name="Comma 5 6 3 3 2 3 3 3" xfId="3103" xr:uid="{00000000-0005-0000-0000-0000AC110000}"/>
    <cellStyle name="Comma 5 6 3 3 2 3 3 3 2" xfId="6406" xr:uid="{00000000-0005-0000-0000-0000AD110000}"/>
    <cellStyle name="Comma 5 6 3 3 2 3 3 3 2 2" xfId="11720" xr:uid="{00000000-0005-0000-0000-0000AE110000}"/>
    <cellStyle name="Comma 5 6 3 3 2 3 3 3 3" xfId="9062" xr:uid="{00000000-0005-0000-0000-0000AF110000}"/>
    <cellStyle name="Comma 5 6 3 3 2 3 3 4" xfId="4522" xr:uid="{00000000-0005-0000-0000-0000B0110000}"/>
    <cellStyle name="Comma 5 6 3 3 2 3 3 4 2" xfId="9966" xr:uid="{00000000-0005-0000-0000-0000B1110000}"/>
    <cellStyle name="Comma 5 6 3 3 2 3 3 5" xfId="7308" xr:uid="{00000000-0005-0000-0000-0000B2110000}"/>
    <cellStyle name="Comma 5 6 3 3 2 3 4" xfId="1744" xr:uid="{00000000-0005-0000-0000-0000B3110000}"/>
    <cellStyle name="Comma 5 6 3 3 2 3 4 2" xfId="5093" xr:uid="{00000000-0005-0000-0000-0000B4110000}"/>
    <cellStyle name="Comma 5 6 3 3 2 3 4 2 2" xfId="10407" xr:uid="{00000000-0005-0000-0000-0000B5110000}"/>
    <cellStyle name="Comma 5 6 3 3 2 3 4 3" xfId="7749" xr:uid="{00000000-0005-0000-0000-0000B6110000}"/>
    <cellStyle name="Comma 5 6 3 3 2 3 5" xfId="2665" xr:uid="{00000000-0005-0000-0000-0000B7110000}"/>
    <cellStyle name="Comma 5 6 3 3 2 3 5 2" xfId="5970" xr:uid="{00000000-0005-0000-0000-0000B8110000}"/>
    <cellStyle name="Comma 5 6 3 3 2 3 5 2 2" xfId="11284" xr:uid="{00000000-0005-0000-0000-0000B9110000}"/>
    <cellStyle name="Comma 5 6 3 3 2 3 5 3" xfId="8626" xr:uid="{00000000-0005-0000-0000-0000BA110000}"/>
    <cellStyle name="Comma 5 6 3 3 2 3 6" xfId="3837" xr:uid="{00000000-0005-0000-0000-0000BB110000}"/>
    <cellStyle name="Comma 5 6 3 3 2 3 6 2" xfId="9530" xr:uid="{00000000-0005-0000-0000-0000BC110000}"/>
    <cellStyle name="Comma 5 6 3 3 2 3 7" xfId="6872" xr:uid="{00000000-0005-0000-0000-0000BD110000}"/>
    <cellStyle name="Comma 5 6 3 3 2 4" xfId="616" xr:uid="{00000000-0005-0000-0000-0000BE110000}"/>
    <cellStyle name="Comma 5 6 3 3 2 4 2" xfId="1303" xr:uid="{00000000-0005-0000-0000-0000BF110000}"/>
    <cellStyle name="Comma 5 6 3 3 2 4 2 2" xfId="2293" xr:uid="{00000000-0005-0000-0000-0000C0110000}"/>
    <cellStyle name="Comma 5 6 3 3 2 4 2 2 2" xfId="5640" xr:uid="{00000000-0005-0000-0000-0000C1110000}"/>
    <cellStyle name="Comma 5 6 3 3 2 4 2 2 2 2" xfId="10954" xr:uid="{00000000-0005-0000-0000-0000C2110000}"/>
    <cellStyle name="Comma 5 6 3 3 2 4 2 2 3" xfId="8296" xr:uid="{00000000-0005-0000-0000-0000C3110000}"/>
    <cellStyle name="Comma 5 6 3 3 2 4 2 3" xfId="3214" xr:uid="{00000000-0005-0000-0000-0000C4110000}"/>
    <cellStyle name="Comma 5 6 3 3 2 4 2 3 2" xfId="6517" xr:uid="{00000000-0005-0000-0000-0000C5110000}"/>
    <cellStyle name="Comma 5 6 3 3 2 4 2 3 2 2" xfId="11831" xr:uid="{00000000-0005-0000-0000-0000C6110000}"/>
    <cellStyle name="Comma 5 6 3 3 2 4 2 3 3" xfId="9173" xr:uid="{00000000-0005-0000-0000-0000C7110000}"/>
    <cellStyle name="Comma 5 6 3 3 2 4 2 4" xfId="4695" xr:uid="{00000000-0005-0000-0000-0000C8110000}"/>
    <cellStyle name="Comma 5 6 3 3 2 4 2 4 2" xfId="10077" xr:uid="{00000000-0005-0000-0000-0000C9110000}"/>
    <cellStyle name="Comma 5 6 3 3 2 4 2 5" xfId="7419" xr:uid="{00000000-0005-0000-0000-0000CA110000}"/>
    <cellStyle name="Comma 5 6 3 3 2 4 3" xfId="1855" xr:uid="{00000000-0005-0000-0000-0000CB110000}"/>
    <cellStyle name="Comma 5 6 3 3 2 4 3 2" xfId="5204" xr:uid="{00000000-0005-0000-0000-0000CC110000}"/>
    <cellStyle name="Comma 5 6 3 3 2 4 3 2 2" xfId="10518" xr:uid="{00000000-0005-0000-0000-0000CD110000}"/>
    <cellStyle name="Comma 5 6 3 3 2 4 3 3" xfId="7860" xr:uid="{00000000-0005-0000-0000-0000CE110000}"/>
    <cellStyle name="Comma 5 6 3 3 2 4 4" xfId="2776" xr:uid="{00000000-0005-0000-0000-0000CF110000}"/>
    <cellStyle name="Comma 5 6 3 3 2 4 4 2" xfId="6081" xr:uid="{00000000-0005-0000-0000-0000D0110000}"/>
    <cellStyle name="Comma 5 6 3 3 2 4 4 2 2" xfId="11395" xr:uid="{00000000-0005-0000-0000-0000D1110000}"/>
    <cellStyle name="Comma 5 6 3 3 2 4 4 3" xfId="8737" xr:uid="{00000000-0005-0000-0000-0000D2110000}"/>
    <cellStyle name="Comma 5 6 3 3 2 4 5" xfId="4010" xr:uid="{00000000-0005-0000-0000-0000D3110000}"/>
    <cellStyle name="Comma 5 6 3 3 2 4 5 2" xfId="9641" xr:uid="{00000000-0005-0000-0000-0000D4110000}"/>
    <cellStyle name="Comma 5 6 3 3 2 4 6" xfId="6983" xr:uid="{00000000-0005-0000-0000-0000D5110000}"/>
    <cellStyle name="Comma 5 6 3 3 2 5" xfId="981" xr:uid="{00000000-0005-0000-0000-0000D6110000}"/>
    <cellStyle name="Comma 5 6 3 3 2 5 2" xfId="2093" xr:uid="{00000000-0005-0000-0000-0000D7110000}"/>
    <cellStyle name="Comma 5 6 3 3 2 5 2 2" xfId="5440" xr:uid="{00000000-0005-0000-0000-0000D8110000}"/>
    <cellStyle name="Comma 5 6 3 3 2 5 2 2 2" xfId="10754" xr:uid="{00000000-0005-0000-0000-0000D9110000}"/>
    <cellStyle name="Comma 5 6 3 3 2 5 2 3" xfId="8096" xr:uid="{00000000-0005-0000-0000-0000DA110000}"/>
    <cellStyle name="Comma 5 6 3 3 2 5 3" xfId="3014" xr:uid="{00000000-0005-0000-0000-0000DB110000}"/>
    <cellStyle name="Comma 5 6 3 3 2 5 3 2" xfId="6317" xr:uid="{00000000-0005-0000-0000-0000DC110000}"/>
    <cellStyle name="Comma 5 6 3 3 2 5 3 2 2" xfId="11631" xr:uid="{00000000-0005-0000-0000-0000DD110000}"/>
    <cellStyle name="Comma 5 6 3 3 2 5 3 3" xfId="8973" xr:uid="{00000000-0005-0000-0000-0000DE110000}"/>
    <cellStyle name="Comma 5 6 3 3 2 5 4" xfId="4373" xr:uid="{00000000-0005-0000-0000-0000DF110000}"/>
    <cellStyle name="Comma 5 6 3 3 2 5 4 2" xfId="9877" xr:uid="{00000000-0005-0000-0000-0000E0110000}"/>
    <cellStyle name="Comma 5 6 3 3 2 5 5" xfId="7219" xr:uid="{00000000-0005-0000-0000-0000E1110000}"/>
    <cellStyle name="Comma 5 6 3 3 2 6" xfId="1655" xr:uid="{00000000-0005-0000-0000-0000E2110000}"/>
    <cellStyle name="Comma 5 6 3 3 2 6 2" xfId="5004" xr:uid="{00000000-0005-0000-0000-0000E3110000}"/>
    <cellStyle name="Comma 5 6 3 3 2 6 2 2" xfId="10318" xr:uid="{00000000-0005-0000-0000-0000E4110000}"/>
    <cellStyle name="Comma 5 6 3 3 2 6 3" xfId="7660" xr:uid="{00000000-0005-0000-0000-0000E5110000}"/>
    <cellStyle name="Comma 5 6 3 3 2 7" xfId="2576" xr:uid="{00000000-0005-0000-0000-0000E6110000}"/>
    <cellStyle name="Comma 5 6 3 3 2 7 2" xfId="5881" xr:uid="{00000000-0005-0000-0000-0000E7110000}"/>
    <cellStyle name="Comma 5 6 3 3 2 7 2 2" xfId="11195" xr:uid="{00000000-0005-0000-0000-0000E8110000}"/>
    <cellStyle name="Comma 5 6 3 3 2 7 3" xfId="8537" xr:uid="{00000000-0005-0000-0000-0000E9110000}"/>
    <cellStyle name="Comma 5 6 3 3 2 8" xfId="3688" xr:uid="{00000000-0005-0000-0000-0000EA110000}"/>
    <cellStyle name="Comma 5 6 3 3 2 8 2" xfId="9441" xr:uid="{00000000-0005-0000-0000-0000EB110000}"/>
    <cellStyle name="Comma 5 6 3 3 2 9" xfId="6783" xr:uid="{00000000-0005-0000-0000-0000EC110000}"/>
    <cellStyle name="Comma 5 6 3 3 3" xfId="435" xr:uid="{00000000-0005-0000-0000-0000ED110000}"/>
    <cellStyle name="Comma 5 6 3 3 3 2" xfId="758" xr:uid="{00000000-0005-0000-0000-0000EE110000}"/>
    <cellStyle name="Comma 5 6 3 3 3 2 2" xfId="1445" xr:uid="{00000000-0005-0000-0000-0000EF110000}"/>
    <cellStyle name="Comma 5 6 3 3 3 2 2 2" xfId="2377" xr:uid="{00000000-0005-0000-0000-0000F0110000}"/>
    <cellStyle name="Comma 5 6 3 3 3 2 2 2 2" xfId="5724" xr:uid="{00000000-0005-0000-0000-0000F1110000}"/>
    <cellStyle name="Comma 5 6 3 3 3 2 2 2 2 2" xfId="11038" xr:uid="{00000000-0005-0000-0000-0000F2110000}"/>
    <cellStyle name="Comma 5 6 3 3 3 2 2 2 3" xfId="8380" xr:uid="{00000000-0005-0000-0000-0000F3110000}"/>
    <cellStyle name="Comma 5 6 3 3 3 2 2 3" xfId="3298" xr:uid="{00000000-0005-0000-0000-0000F4110000}"/>
    <cellStyle name="Comma 5 6 3 3 3 2 2 3 2" xfId="6601" xr:uid="{00000000-0005-0000-0000-0000F5110000}"/>
    <cellStyle name="Comma 5 6 3 3 3 2 2 3 2 2" xfId="11915" xr:uid="{00000000-0005-0000-0000-0000F6110000}"/>
    <cellStyle name="Comma 5 6 3 3 3 2 2 3 3" xfId="9257" xr:uid="{00000000-0005-0000-0000-0000F7110000}"/>
    <cellStyle name="Comma 5 6 3 3 3 2 2 4" xfId="4837" xr:uid="{00000000-0005-0000-0000-0000F8110000}"/>
    <cellStyle name="Comma 5 6 3 3 3 2 2 4 2" xfId="10161" xr:uid="{00000000-0005-0000-0000-0000F9110000}"/>
    <cellStyle name="Comma 5 6 3 3 3 2 2 5" xfId="7503" xr:uid="{00000000-0005-0000-0000-0000FA110000}"/>
    <cellStyle name="Comma 5 6 3 3 3 2 3" xfId="1939" xr:uid="{00000000-0005-0000-0000-0000FB110000}"/>
    <cellStyle name="Comma 5 6 3 3 3 2 3 2" xfId="5288" xr:uid="{00000000-0005-0000-0000-0000FC110000}"/>
    <cellStyle name="Comma 5 6 3 3 3 2 3 2 2" xfId="10602" xr:uid="{00000000-0005-0000-0000-0000FD110000}"/>
    <cellStyle name="Comma 5 6 3 3 3 2 3 3" xfId="7944" xr:uid="{00000000-0005-0000-0000-0000FE110000}"/>
    <cellStyle name="Comma 5 6 3 3 3 2 4" xfId="2860" xr:uid="{00000000-0005-0000-0000-0000FF110000}"/>
    <cellStyle name="Comma 5 6 3 3 3 2 4 2" xfId="6165" xr:uid="{00000000-0005-0000-0000-000000120000}"/>
    <cellStyle name="Comma 5 6 3 3 3 2 4 2 2" xfId="11479" xr:uid="{00000000-0005-0000-0000-000001120000}"/>
    <cellStyle name="Comma 5 6 3 3 3 2 4 3" xfId="8821" xr:uid="{00000000-0005-0000-0000-000002120000}"/>
    <cellStyle name="Comma 5 6 3 3 3 2 5" xfId="4152" xr:uid="{00000000-0005-0000-0000-000003120000}"/>
    <cellStyle name="Comma 5 6 3 3 3 2 5 2" xfId="9725" xr:uid="{00000000-0005-0000-0000-000004120000}"/>
    <cellStyle name="Comma 5 6 3 3 3 2 6" xfId="7067" xr:uid="{00000000-0005-0000-0000-000005120000}"/>
    <cellStyle name="Comma 5 6 3 3 3 3" xfId="1123" xr:uid="{00000000-0005-0000-0000-000006120000}"/>
    <cellStyle name="Comma 5 6 3 3 3 3 2" xfId="2177" xr:uid="{00000000-0005-0000-0000-000007120000}"/>
    <cellStyle name="Comma 5 6 3 3 3 3 2 2" xfId="5524" xr:uid="{00000000-0005-0000-0000-000008120000}"/>
    <cellStyle name="Comma 5 6 3 3 3 3 2 2 2" xfId="10838" xr:uid="{00000000-0005-0000-0000-000009120000}"/>
    <cellStyle name="Comma 5 6 3 3 3 3 2 3" xfId="8180" xr:uid="{00000000-0005-0000-0000-00000A120000}"/>
    <cellStyle name="Comma 5 6 3 3 3 3 3" xfId="3098" xr:uid="{00000000-0005-0000-0000-00000B120000}"/>
    <cellStyle name="Comma 5 6 3 3 3 3 3 2" xfId="6401" xr:uid="{00000000-0005-0000-0000-00000C120000}"/>
    <cellStyle name="Comma 5 6 3 3 3 3 3 2 2" xfId="11715" xr:uid="{00000000-0005-0000-0000-00000D120000}"/>
    <cellStyle name="Comma 5 6 3 3 3 3 3 3" xfId="9057" xr:uid="{00000000-0005-0000-0000-00000E120000}"/>
    <cellStyle name="Comma 5 6 3 3 3 3 4" xfId="4515" xr:uid="{00000000-0005-0000-0000-00000F120000}"/>
    <cellStyle name="Comma 5 6 3 3 3 3 4 2" xfId="9961" xr:uid="{00000000-0005-0000-0000-000010120000}"/>
    <cellStyle name="Comma 5 6 3 3 3 3 5" xfId="7303" xr:uid="{00000000-0005-0000-0000-000011120000}"/>
    <cellStyle name="Comma 5 6 3 3 3 4" xfId="1739" xr:uid="{00000000-0005-0000-0000-000012120000}"/>
    <cellStyle name="Comma 5 6 3 3 3 4 2" xfId="5088" xr:uid="{00000000-0005-0000-0000-000013120000}"/>
    <cellStyle name="Comma 5 6 3 3 3 4 2 2" xfId="10402" xr:uid="{00000000-0005-0000-0000-000014120000}"/>
    <cellStyle name="Comma 5 6 3 3 3 4 3" xfId="7744" xr:uid="{00000000-0005-0000-0000-000015120000}"/>
    <cellStyle name="Comma 5 6 3 3 3 5" xfId="2660" xr:uid="{00000000-0005-0000-0000-000016120000}"/>
    <cellStyle name="Comma 5 6 3 3 3 5 2" xfId="5965" xr:uid="{00000000-0005-0000-0000-000017120000}"/>
    <cellStyle name="Comma 5 6 3 3 3 5 2 2" xfId="11279" xr:uid="{00000000-0005-0000-0000-000018120000}"/>
    <cellStyle name="Comma 5 6 3 3 3 5 3" xfId="8621" xr:uid="{00000000-0005-0000-0000-000019120000}"/>
    <cellStyle name="Comma 5 6 3 3 3 6" xfId="3830" xr:uid="{00000000-0005-0000-0000-00001A120000}"/>
    <cellStyle name="Comma 5 6 3 3 3 6 2" xfId="9525" xr:uid="{00000000-0005-0000-0000-00001B120000}"/>
    <cellStyle name="Comma 5 6 3 3 3 7" xfId="6867" xr:uid="{00000000-0005-0000-0000-00001C120000}"/>
    <cellStyle name="Comma 5 6 3 3 4" xfId="609" xr:uid="{00000000-0005-0000-0000-00001D120000}"/>
    <cellStyle name="Comma 5 6 3 3 4 2" xfId="1296" xr:uid="{00000000-0005-0000-0000-00001E120000}"/>
    <cellStyle name="Comma 5 6 3 3 4 2 2" xfId="2288" xr:uid="{00000000-0005-0000-0000-00001F120000}"/>
    <cellStyle name="Comma 5 6 3 3 4 2 2 2" xfId="5635" xr:uid="{00000000-0005-0000-0000-000020120000}"/>
    <cellStyle name="Comma 5 6 3 3 4 2 2 2 2" xfId="10949" xr:uid="{00000000-0005-0000-0000-000021120000}"/>
    <cellStyle name="Comma 5 6 3 3 4 2 2 3" xfId="8291" xr:uid="{00000000-0005-0000-0000-000022120000}"/>
    <cellStyle name="Comma 5 6 3 3 4 2 3" xfId="3209" xr:uid="{00000000-0005-0000-0000-000023120000}"/>
    <cellStyle name="Comma 5 6 3 3 4 2 3 2" xfId="6512" xr:uid="{00000000-0005-0000-0000-000024120000}"/>
    <cellStyle name="Comma 5 6 3 3 4 2 3 2 2" xfId="11826" xr:uid="{00000000-0005-0000-0000-000025120000}"/>
    <cellStyle name="Comma 5 6 3 3 4 2 3 3" xfId="9168" xr:uid="{00000000-0005-0000-0000-000026120000}"/>
    <cellStyle name="Comma 5 6 3 3 4 2 4" xfId="4688" xr:uid="{00000000-0005-0000-0000-000027120000}"/>
    <cellStyle name="Comma 5 6 3 3 4 2 4 2" xfId="10072" xr:uid="{00000000-0005-0000-0000-000028120000}"/>
    <cellStyle name="Comma 5 6 3 3 4 2 5" xfId="7414" xr:uid="{00000000-0005-0000-0000-000029120000}"/>
    <cellStyle name="Comma 5 6 3 3 4 3" xfId="1850" xr:uid="{00000000-0005-0000-0000-00002A120000}"/>
    <cellStyle name="Comma 5 6 3 3 4 3 2" xfId="5199" xr:uid="{00000000-0005-0000-0000-00002B120000}"/>
    <cellStyle name="Comma 5 6 3 3 4 3 2 2" xfId="10513" xr:uid="{00000000-0005-0000-0000-00002C120000}"/>
    <cellStyle name="Comma 5 6 3 3 4 3 3" xfId="7855" xr:uid="{00000000-0005-0000-0000-00002D120000}"/>
    <cellStyle name="Comma 5 6 3 3 4 4" xfId="2771" xr:uid="{00000000-0005-0000-0000-00002E120000}"/>
    <cellStyle name="Comma 5 6 3 3 4 4 2" xfId="6076" xr:uid="{00000000-0005-0000-0000-00002F120000}"/>
    <cellStyle name="Comma 5 6 3 3 4 4 2 2" xfId="11390" xr:uid="{00000000-0005-0000-0000-000030120000}"/>
    <cellStyle name="Comma 5 6 3 3 4 4 3" xfId="8732" xr:uid="{00000000-0005-0000-0000-000031120000}"/>
    <cellStyle name="Comma 5 6 3 3 4 5" xfId="4003" xr:uid="{00000000-0005-0000-0000-000032120000}"/>
    <cellStyle name="Comma 5 6 3 3 4 5 2" xfId="9636" xr:uid="{00000000-0005-0000-0000-000033120000}"/>
    <cellStyle name="Comma 5 6 3 3 4 6" xfId="6978" xr:uid="{00000000-0005-0000-0000-000034120000}"/>
    <cellStyle name="Comma 5 6 3 3 5" xfId="974" xr:uid="{00000000-0005-0000-0000-000035120000}"/>
    <cellStyle name="Comma 5 6 3 3 5 2" xfId="2088" xr:uid="{00000000-0005-0000-0000-000036120000}"/>
    <cellStyle name="Comma 5 6 3 3 5 2 2" xfId="5435" xr:uid="{00000000-0005-0000-0000-000037120000}"/>
    <cellStyle name="Comma 5 6 3 3 5 2 2 2" xfId="10749" xr:uid="{00000000-0005-0000-0000-000038120000}"/>
    <cellStyle name="Comma 5 6 3 3 5 2 3" xfId="8091" xr:uid="{00000000-0005-0000-0000-000039120000}"/>
    <cellStyle name="Comma 5 6 3 3 5 3" xfId="3009" xr:uid="{00000000-0005-0000-0000-00003A120000}"/>
    <cellStyle name="Comma 5 6 3 3 5 3 2" xfId="6312" xr:uid="{00000000-0005-0000-0000-00003B120000}"/>
    <cellStyle name="Comma 5 6 3 3 5 3 2 2" xfId="11626" xr:uid="{00000000-0005-0000-0000-00003C120000}"/>
    <cellStyle name="Comma 5 6 3 3 5 3 3" xfId="8968" xr:uid="{00000000-0005-0000-0000-00003D120000}"/>
    <cellStyle name="Comma 5 6 3 3 5 4" xfId="4366" xr:uid="{00000000-0005-0000-0000-00003E120000}"/>
    <cellStyle name="Comma 5 6 3 3 5 4 2" xfId="9872" xr:uid="{00000000-0005-0000-0000-00003F120000}"/>
    <cellStyle name="Comma 5 6 3 3 5 5" xfId="7214" xr:uid="{00000000-0005-0000-0000-000040120000}"/>
    <cellStyle name="Comma 5 6 3 3 6" xfId="1650" xr:uid="{00000000-0005-0000-0000-000041120000}"/>
    <cellStyle name="Comma 5 6 3 3 6 2" xfId="4999" xr:uid="{00000000-0005-0000-0000-000042120000}"/>
    <cellStyle name="Comma 5 6 3 3 6 2 2" xfId="10313" xr:uid="{00000000-0005-0000-0000-000043120000}"/>
    <cellStyle name="Comma 5 6 3 3 6 3" xfId="7655" xr:uid="{00000000-0005-0000-0000-000044120000}"/>
    <cellStyle name="Comma 5 6 3 3 7" xfId="2571" xr:uid="{00000000-0005-0000-0000-000045120000}"/>
    <cellStyle name="Comma 5 6 3 3 7 2" xfId="5876" xr:uid="{00000000-0005-0000-0000-000046120000}"/>
    <cellStyle name="Comma 5 6 3 3 7 2 2" xfId="11190" xr:uid="{00000000-0005-0000-0000-000047120000}"/>
    <cellStyle name="Comma 5 6 3 3 7 3" xfId="8532" xr:uid="{00000000-0005-0000-0000-000048120000}"/>
    <cellStyle name="Comma 5 6 3 3 8" xfId="3681" xr:uid="{00000000-0005-0000-0000-000049120000}"/>
    <cellStyle name="Comma 5 6 3 3 8 2" xfId="9436" xr:uid="{00000000-0005-0000-0000-00004A120000}"/>
    <cellStyle name="Comma 5 6 3 3 9" xfId="6778" xr:uid="{00000000-0005-0000-0000-00004B120000}"/>
    <cellStyle name="Comma 5 6 3 4" xfId="424" xr:uid="{00000000-0005-0000-0000-00004C120000}"/>
    <cellStyle name="Comma 5 6 3 4 2" xfId="747" xr:uid="{00000000-0005-0000-0000-00004D120000}"/>
    <cellStyle name="Comma 5 6 3 4 2 2" xfId="1434" xr:uid="{00000000-0005-0000-0000-00004E120000}"/>
    <cellStyle name="Comma 5 6 3 4 2 2 2" xfId="2366" xr:uid="{00000000-0005-0000-0000-00004F120000}"/>
    <cellStyle name="Comma 5 6 3 4 2 2 2 2" xfId="5713" xr:uid="{00000000-0005-0000-0000-000050120000}"/>
    <cellStyle name="Comma 5 6 3 4 2 2 2 2 2" xfId="11027" xr:uid="{00000000-0005-0000-0000-000051120000}"/>
    <cellStyle name="Comma 5 6 3 4 2 2 2 3" xfId="8369" xr:uid="{00000000-0005-0000-0000-000052120000}"/>
    <cellStyle name="Comma 5 6 3 4 2 2 3" xfId="3287" xr:uid="{00000000-0005-0000-0000-000053120000}"/>
    <cellStyle name="Comma 5 6 3 4 2 2 3 2" xfId="6590" xr:uid="{00000000-0005-0000-0000-000054120000}"/>
    <cellStyle name="Comma 5 6 3 4 2 2 3 2 2" xfId="11904" xr:uid="{00000000-0005-0000-0000-000055120000}"/>
    <cellStyle name="Comma 5 6 3 4 2 2 3 3" xfId="9246" xr:uid="{00000000-0005-0000-0000-000056120000}"/>
    <cellStyle name="Comma 5 6 3 4 2 2 4" xfId="4826" xr:uid="{00000000-0005-0000-0000-000057120000}"/>
    <cellStyle name="Comma 5 6 3 4 2 2 4 2" xfId="10150" xr:uid="{00000000-0005-0000-0000-000058120000}"/>
    <cellStyle name="Comma 5 6 3 4 2 2 5" xfId="7492" xr:uid="{00000000-0005-0000-0000-000059120000}"/>
    <cellStyle name="Comma 5 6 3 4 2 3" xfId="1928" xr:uid="{00000000-0005-0000-0000-00005A120000}"/>
    <cellStyle name="Comma 5 6 3 4 2 3 2" xfId="5277" xr:uid="{00000000-0005-0000-0000-00005B120000}"/>
    <cellStyle name="Comma 5 6 3 4 2 3 2 2" xfId="10591" xr:uid="{00000000-0005-0000-0000-00005C120000}"/>
    <cellStyle name="Comma 5 6 3 4 2 3 3" xfId="7933" xr:uid="{00000000-0005-0000-0000-00005D120000}"/>
    <cellStyle name="Comma 5 6 3 4 2 4" xfId="2849" xr:uid="{00000000-0005-0000-0000-00005E120000}"/>
    <cellStyle name="Comma 5 6 3 4 2 4 2" xfId="6154" xr:uid="{00000000-0005-0000-0000-00005F120000}"/>
    <cellStyle name="Comma 5 6 3 4 2 4 2 2" xfId="11468" xr:uid="{00000000-0005-0000-0000-000060120000}"/>
    <cellStyle name="Comma 5 6 3 4 2 4 3" xfId="8810" xr:uid="{00000000-0005-0000-0000-000061120000}"/>
    <cellStyle name="Comma 5 6 3 4 2 5" xfId="4141" xr:uid="{00000000-0005-0000-0000-000062120000}"/>
    <cellStyle name="Comma 5 6 3 4 2 5 2" xfId="9714" xr:uid="{00000000-0005-0000-0000-000063120000}"/>
    <cellStyle name="Comma 5 6 3 4 2 6" xfId="7056" xr:uid="{00000000-0005-0000-0000-000064120000}"/>
    <cellStyle name="Comma 5 6 3 4 3" xfId="1112" xr:uid="{00000000-0005-0000-0000-000065120000}"/>
    <cellStyle name="Comma 5 6 3 4 3 2" xfId="2166" xr:uid="{00000000-0005-0000-0000-000066120000}"/>
    <cellStyle name="Comma 5 6 3 4 3 2 2" xfId="5513" xr:uid="{00000000-0005-0000-0000-000067120000}"/>
    <cellStyle name="Comma 5 6 3 4 3 2 2 2" xfId="10827" xr:uid="{00000000-0005-0000-0000-000068120000}"/>
    <cellStyle name="Comma 5 6 3 4 3 2 3" xfId="8169" xr:uid="{00000000-0005-0000-0000-000069120000}"/>
    <cellStyle name="Comma 5 6 3 4 3 3" xfId="3087" xr:uid="{00000000-0005-0000-0000-00006A120000}"/>
    <cellStyle name="Comma 5 6 3 4 3 3 2" xfId="6390" xr:uid="{00000000-0005-0000-0000-00006B120000}"/>
    <cellStyle name="Comma 5 6 3 4 3 3 2 2" xfId="11704" xr:uid="{00000000-0005-0000-0000-00006C120000}"/>
    <cellStyle name="Comma 5 6 3 4 3 3 3" xfId="9046" xr:uid="{00000000-0005-0000-0000-00006D120000}"/>
    <cellStyle name="Comma 5 6 3 4 3 4" xfId="4504" xr:uid="{00000000-0005-0000-0000-00006E120000}"/>
    <cellStyle name="Comma 5 6 3 4 3 4 2" xfId="9950" xr:uid="{00000000-0005-0000-0000-00006F120000}"/>
    <cellStyle name="Comma 5 6 3 4 3 5" xfId="7292" xr:uid="{00000000-0005-0000-0000-000070120000}"/>
    <cellStyle name="Comma 5 6 3 4 4" xfId="1728" xr:uid="{00000000-0005-0000-0000-000071120000}"/>
    <cellStyle name="Comma 5 6 3 4 4 2" xfId="5077" xr:uid="{00000000-0005-0000-0000-000072120000}"/>
    <cellStyle name="Comma 5 6 3 4 4 2 2" xfId="10391" xr:uid="{00000000-0005-0000-0000-000073120000}"/>
    <cellStyle name="Comma 5 6 3 4 4 3" xfId="7733" xr:uid="{00000000-0005-0000-0000-000074120000}"/>
    <cellStyle name="Comma 5 6 3 4 5" xfId="2649" xr:uid="{00000000-0005-0000-0000-000075120000}"/>
    <cellStyle name="Comma 5 6 3 4 5 2" xfId="5954" xr:uid="{00000000-0005-0000-0000-000076120000}"/>
    <cellStyle name="Comma 5 6 3 4 5 2 2" xfId="11268" xr:uid="{00000000-0005-0000-0000-000077120000}"/>
    <cellStyle name="Comma 5 6 3 4 5 3" xfId="8610" xr:uid="{00000000-0005-0000-0000-000078120000}"/>
    <cellStyle name="Comma 5 6 3 4 6" xfId="3819" xr:uid="{00000000-0005-0000-0000-000079120000}"/>
    <cellStyle name="Comma 5 6 3 4 6 2" xfId="9514" xr:uid="{00000000-0005-0000-0000-00007A120000}"/>
    <cellStyle name="Comma 5 6 3 4 7" xfId="6856" xr:uid="{00000000-0005-0000-0000-00007B120000}"/>
    <cellStyle name="Comma 5 6 3 5" xfId="598" xr:uid="{00000000-0005-0000-0000-00007C120000}"/>
    <cellStyle name="Comma 5 6 3 5 2" xfId="1285" xr:uid="{00000000-0005-0000-0000-00007D120000}"/>
    <cellStyle name="Comma 5 6 3 5 2 2" xfId="2277" xr:uid="{00000000-0005-0000-0000-00007E120000}"/>
    <cellStyle name="Comma 5 6 3 5 2 2 2" xfId="5624" xr:uid="{00000000-0005-0000-0000-00007F120000}"/>
    <cellStyle name="Comma 5 6 3 5 2 2 2 2" xfId="10938" xr:uid="{00000000-0005-0000-0000-000080120000}"/>
    <cellStyle name="Comma 5 6 3 5 2 2 3" xfId="8280" xr:uid="{00000000-0005-0000-0000-000081120000}"/>
    <cellStyle name="Comma 5 6 3 5 2 3" xfId="3198" xr:uid="{00000000-0005-0000-0000-000082120000}"/>
    <cellStyle name="Comma 5 6 3 5 2 3 2" xfId="6501" xr:uid="{00000000-0005-0000-0000-000083120000}"/>
    <cellStyle name="Comma 5 6 3 5 2 3 2 2" xfId="11815" xr:uid="{00000000-0005-0000-0000-000084120000}"/>
    <cellStyle name="Comma 5 6 3 5 2 3 3" xfId="9157" xr:uid="{00000000-0005-0000-0000-000085120000}"/>
    <cellStyle name="Comma 5 6 3 5 2 4" xfId="4677" xr:uid="{00000000-0005-0000-0000-000086120000}"/>
    <cellStyle name="Comma 5 6 3 5 2 4 2" xfId="10061" xr:uid="{00000000-0005-0000-0000-000087120000}"/>
    <cellStyle name="Comma 5 6 3 5 2 5" xfId="7403" xr:uid="{00000000-0005-0000-0000-000088120000}"/>
    <cellStyle name="Comma 5 6 3 5 3" xfId="1839" xr:uid="{00000000-0005-0000-0000-000089120000}"/>
    <cellStyle name="Comma 5 6 3 5 3 2" xfId="5188" xr:uid="{00000000-0005-0000-0000-00008A120000}"/>
    <cellStyle name="Comma 5 6 3 5 3 2 2" xfId="10502" xr:uid="{00000000-0005-0000-0000-00008B120000}"/>
    <cellStyle name="Comma 5 6 3 5 3 3" xfId="7844" xr:uid="{00000000-0005-0000-0000-00008C120000}"/>
    <cellStyle name="Comma 5 6 3 5 4" xfId="2760" xr:uid="{00000000-0005-0000-0000-00008D120000}"/>
    <cellStyle name="Comma 5 6 3 5 4 2" xfId="6065" xr:uid="{00000000-0005-0000-0000-00008E120000}"/>
    <cellStyle name="Comma 5 6 3 5 4 2 2" xfId="11379" xr:uid="{00000000-0005-0000-0000-00008F120000}"/>
    <cellStyle name="Comma 5 6 3 5 4 3" xfId="8721" xr:uid="{00000000-0005-0000-0000-000090120000}"/>
    <cellStyle name="Comma 5 6 3 5 5" xfId="3992" xr:uid="{00000000-0005-0000-0000-000091120000}"/>
    <cellStyle name="Comma 5 6 3 5 5 2" xfId="9625" xr:uid="{00000000-0005-0000-0000-000092120000}"/>
    <cellStyle name="Comma 5 6 3 5 6" xfId="6967" xr:uid="{00000000-0005-0000-0000-000093120000}"/>
    <cellStyle name="Comma 5 6 3 6" xfId="963" xr:uid="{00000000-0005-0000-0000-000094120000}"/>
    <cellStyle name="Comma 5 6 3 6 2" xfId="2077" xr:uid="{00000000-0005-0000-0000-000095120000}"/>
    <cellStyle name="Comma 5 6 3 6 2 2" xfId="5424" xr:uid="{00000000-0005-0000-0000-000096120000}"/>
    <cellStyle name="Comma 5 6 3 6 2 2 2" xfId="10738" xr:uid="{00000000-0005-0000-0000-000097120000}"/>
    <cellStyle name="Comma 5 6 3 6 2 3" xfId="8080" xr:uid="{00000000-0005-0000-0000-000098120000}"/>
    <cellStyle name="Comma 5 6 3 6 3" xfId="2998" xr:uid="{00000000-0005-0000-0000-000099120000}"/>
    <cellStyle name="Comma 5 6 3 6 3 2" xfId="6301" xr:uid="{00000000-0005-0000-0000-00009A120000}"/>
    <cellStyle name="Comma 5 6 3 6 3 2 2" xfId="11615" xr:uid="{00000000-0005-0000-0000-00009B120000}"/>
    <cellStyle name="Comma 5 6 3 6 3 3" xfId="8957" xr:uid="{00000000-0005-0000-0000-00009C120000}"/>
    <cellStyle name="Comma 5 6 3 6 4" xfId="4355" xr:uid="{00000000-0005-0000-0000-00009D120000}"/>
    <cellStyle name="Comma 5 6 3 6 4 2" xfId="9861" xr:uid="{00000000-0005-0000-0000-00009E120000}"/>
    <cellStyle name="Comma 5 6 3 6 5" xfId="7203" xr:uid="{00000000-0005-0000-0000-00009F120000}"/>
    <cellStyle name="Comma 5 6 3 7" xfId="1638" xr:uid="{00000000-0005-0000-0000-0000A0120000}"/>
    <cellStyle name="Comma 5 6 3 7 2" xfId="4988" xr:uid="{00000000-0005-0000-0000-0000A1120000}"/>
    <cellStyle name="Comma 5 6 3 7 2 2" xfId="10302" xr:uid="{00000000-0005-0000-0000-0000A2120000}"/>
    <cellStyle name="Comma 5 6 3 7 3" xfId="7644" xr:uid="{00000000-0005-0000-0000-0000A3120000}"/>
    <cellStyle name="Comma 5 6 3 8" xfId="2559" xr:uid="{00000000-0005-0000-0000-0000A4120000}"/>
    <cellStyle name="Comma 5 6 3 8 2" xfId="5865" xr:uid="{00000000-0005-0000-0000-0000A5120000}"/>
    <cellStyle name="Comma 5 6 3 8 2 2" xfId="11179" xr:uid="{00000000-0005-0000-0000-0000A6120000}"/>
    <cellStyle name="Comma 5 6 3 8 3" xfId="8521" xr:uid="{00000000-0005-0000-0000-0000A7120000}"/>
    <cellStyle name="Comma 5 6 3 9" xfId="3670" xr:uid="{00000000-0005-0000-0000-0000A8120000}"/>
    <cellStyle name="Comma 5 6 3 9 2" xfId="9425" xr:uid="{00000000-0005-0000-0000-0000A9120000}"/>
    <cellStyle name="Comma 5 6 4" xfId="418" xr:uid="{00000000-0005-0000-0000-0000AA120000}"/>
    <cellStyle name="Comma 5 6 4 2" xfId="741" xr:uid="{00000000-0005-0000-0000-0000AB120000}"/>
    <cellStyle name="Comma 5 6 4 2 2" xfId="1428" xr:uid="{00000000-0005-0000-0000-0000AC120000}"/>
    <cellStyle name="Comma 5 6 4 2 2 2" xfId="2360" xr:uid="{00000000-0005-0000-0000-0000AD120000}"/>
    <cellStyle name="Comma 5 6 4 2 2 2 2" xfId="5707" xr:uid="{00000000-0005-0000-0000-0000AE120000}"/>
    <cellStyle name="Comma 5 6 4 2 2 2 2 2" xfId="11021" xr:uid="{00000000-0005-0000-0000-0000AF120000}"/>
    <cellStyle name="Comma 5 6 4 2 2 2 3" xfId="8363" xr:uid="{00000000-0005-0000-0000-0000B0120000}"/>
    <cellStyle name="Comma 5 6 4 2 2 3" xfId="3281" xr:uid="{00000000-0005-0000-0000-0000B1120000}"/>
    <cellStyle name="Comma 5 6 4 2 2 3 2" xfId="6584" xr:uid="{00000000-0005-0000-0000-0000B2120000}"/>
    <cellStyle name="Comma 5 6 4 2 2 3 2 2" xfId="11898" xr:uid="{00000000-0005-0000-0000-0000B3120000}"/>
    <cellStyle name="Comma 5 6 4 2 2 3 3" xfId="9240" xr:uid="{00000000-0005-0000-0000-0000B4120000}"/>
    <cellStyle name="Comma 5 6 4 2 2 4" xfId="4820" xr:uid="{00000000-0005-0000-0000-0000B5120000}"/>
    <cellStyle name="Comma 5 6 4 2 2 4 2" xfId="10144" xr:uid="{00000000-0005-0000-0000-0000B6120000}"/>
    <cellStyle name="Comma 5 6 4 2 2 5" xfId="7486" xr:uid="{00000000-0005-0000-0000-0000B7120000}"/>
    <cellStyle name="Comma 5 6 4 2 3" xfId="1922" xr:uid="{00000000-0005-0000-0000-0000B8120000}"/>
    <cellStyle name="Comma 5 6 4 2 3 2" xfId="5271" xr:uid="{00000000-0005-0000-0000-0000B9120000}"/>
    <cellStyle name="Comma 5 6 4 2 3 2 2" xfId="10585" xr:uid="{00000000-0005-0000-0000-0000BA120000}"/>
    <cellStyle name="Comma 5 6 4 2 3 3" xfId="7927" xr:uid="{00000000-0005-0000-0000-0000BB120000}"/>
    <cellStyle name="Comma 5 6 4 2 4" xfId="2843" xr:uid="{00000000-0005-0000-0000-0000BC120000}"/>
    <cellStyle name="Comma 5 6 4 2 4 2" xfId="6148" xr:uid="{00000000-0005-0000-0000-0000BD120000}"/>
    <cellStyle name="Comma 5 6 4 2 4 2 2" xfId="11462" xr:uid="{00000000-0005-0000-0000-0000BE120000}"/>
    <cellStyle name="Comma 5 6 4 2 4 3" xfId="8804" xr:uid="{00000000-0005-0000-0000-0000BF120000}"/>
    <cellStyle name="Comma 5 6 4 2 5" xfId="4135" xr:uid="{00000000-0005-0000-0000-0000C0120000}"/>
    <cellStyle name="Comma 5 6 4 2 5 2" xfId="9708" xr:uid="{00000000-0005-0000-0000-0000C1120000}"/>
    <cellStyle name="Comma 5 6 4 2 6" xfId="7050" xr:uid="{00000000-0005-0000-0000-0000C2120000}"/>
    <cellStyle name="Comma 5 6 4 3" xfId="1106" xr:uid="{00000000-0005-0000-0000-0000C3120000}"/>
    <cellStyle name="Comma 5 6 4 3 2" xfId="2160" xr:uid="{00000000-0005-0000-0000-0000C4120000}"/>
    <cellStyle name="Comma 5 6 4 3 2 2" xfId="5507" xr:uid="{00000000-0005-0000-0000-0000C5120000}"/>
    <cellStyle name="Comma 5 6 4 3 2 2 2" xfId="10821" xr:uid="{00000000-0005-0000-0000-0000C6120000}"/>
    <cellStyle name="Comma 5 6 4 3 2 3" xfId="8163" xr:uid="{00000000-0005-0000-0000-0000C7120000}"/>
    <cellStyle name="Comma 5 6 4 3 3" xfId="3081" xr:uid="{00000000-0005-0000-0000-0000C8120000}"/>
    <cellStyle name="Comma 5 6 4 3 3 2" xfId="6384" xr:uid="{00000000-0005-0000-0000-0000C9120000}"/>
    <cellStyle name="Comma 5 6 4 3 3 2 2" xfId="11698" xr:uid="{00000000-0005-0000-0000-0000CA120000}"/>
    <cellStyle name="Comma 5 6 4 3 3 3" xfId="9040" xr:uid="{00000000-0005-0000-0000-0000CB120000}"/>
    <cellStyle name="Comma 5 6 4 3 4" xfId="4498" xr:uid="{00000000-0005-0000-0000-0000CC120000}"/>
    <cellStyle name="Comma 5 6 4 3 4 2" xfId="9944" xr:uid="{00000000-0005-0000-0000-0000CD120000}"/>
    <cellStyle name="Comma 5 6 4 3 5" xfId="7286" xr:uid="{00000000-0005-0000-0000-0000CE120000}"/>
    <cellStyle name="Comma 5 6 4 4" xfId="1722" xr:uid="{00000000-0005-0000-0000-0000CF120000}"/>
    <cellStyle name="Comma 5 6 4 4 2" xfId="5071" xr:uid="{00000000-0005-0000-0000-0000D0120000}"/>
    <cellStyle name="Comma 5 6 4 4 2 2" xfId="10385" xr:uid="{00000000-0005-0000-0000-0000D1120000}"/>
    <cellStyle name="Comma 5 6 4 4 3" xfId="7727" xr:uid="{00000000-0005-0000-0000-0000D2120000}"/>
    <cellStyle name="Comma 5 6 4 5" xfId="2643" xr:uid="{00000000-0005-0000-0000-0000D3120000}"/>
    <cellStyle name="Comma 5 6 4 5 2" xfId="5948" xr:uid="{00000000-0005-0000-0000-0000D4120000}"/>
    <cellStyle name="Comma 5 6 4 5 2 2" xfId="11262" xr:uid="{00000000-0005-0000-0000-0000D5120000}"/>
    <cellStyle name="Comma 5 6 4 5 3" xfId="8604" xr:uid="{00000000-0005-0000-0000-0000D6120000}"/>
    <cellStyle name="Comma 5 6 4 6" xfId="3813" xr:uid="{00000000-0005-0000-0000-0000D7120000}"/>
    <cellStyle name="Comma 5 6 4 6 2" xfId="9508" xr:uid="{00000000-0005-0000-0000-0000D8120000}"/>
    <cellStyle name="Comma 5 6 4 7" xfId="6850" xr:uid="{00000000-0005-0000-0000-0000D9120000}"/>
    <cellStyle name="Comma 5 6 5" xfId="592" xr:uid="{00000000-0005-0000-0000-0000DA120000}"/>
    <cellStyle name="Comma 5 6 5 2" xfId="1279" xr:uid="{00000000-0005-0000-0000-0000DB120000}"/>
    <cellStyle name="Comma 5 6 5 2 2" xfId="2271" xr:uid="{00000000-0005-0000-0000-0000DC120000}"/>
    <cellStyle name="Comma 5 6 5 2 2 2" xfId="5618" xr:uid="{00000000-0005-0000-0000-0000DD120000}"/>
    <cellStyle name="Comma 5 6 5 2 2 2 2" xfId="10932" xr:uid="{00000000-0005-0000-0000-0000DE120000}"/>
    <cellStyle name="Comma 5 6 5 2 2 3" xfId="8274" xr:uid="{00000000-0005-0000-0000-0000DF120000}"/>
    <cellStyle name="Comma 5 6 5 2 3" xfId="3192" xr:uid="{00000000-0005-0000-0000-0000E0120000}"/>
    <cellStyle name="Comma 5 6 5 2 3 2" xfId="6495" xr:uid="{00000000-0005-0000-0000-0000E1120000}"/>
    <cellStyle name="Comma 5 6 5 2 3 2 2" xfId="11809" xr:uid="{00000000-0005-0000-0000-0000E2120000}"/>
    <cellStyle name="Comma 5 6 5 2 3 3" xfId="9151" xr:uid="{00000000-0005-0000-0000-0000E3120000}"/>
    <cellStyle name="Comma 5 6 5 2 4" xfId="4671" xr:uid="{00000000-0005-0000-0000-0000E4120000}"/>
    <cellStyle name="Comma 5 6 5 2 4 2" xfId="10055" xr:uid="{00000000-0005-0000-0000-0000E5120000}"/>
    <cellStyle name="Comma 5 6 5 2 5" xfId="7397" xr:uid="{00000000-0005-0000-0000-0000E6120000}"/>
    <cellStyle name="Comma 5 6 5 3" xfId="1833" xr:uid="{00000000-0005-0000-0000-0000E7120000}"/>
    <cellStyle name="Comma 5 6 5 3 2" xfId="5182" xr:uid="{00000000-0005-0000-0000-0000E8120000}"/>
    <cellStyle name="Comma 5 6 5 3 2 2" xfId="10496" xr:uid="{00000000-0005-0000-0000-0000E9120000}"/>
    <cellStyle name="Comma 5 6 5 3 3" xfId="7838" xr:uid="{00000000-0005-0000-0000-0000EA120000}"/>
    <cellStyle name="Comma 5 6 5 4" xfId="2754" xr:uid="{00000000-0005-0000-0000-0000EB120000}"/>
    <cellStyle name="Comma 5 6 5 4 2" xfId="6059" xr:uid="{00000000-0005-0000-0000-0000EC120000}"/>
    <cellStyle name="Comma 5 6 5 4 2 2" xfId="11373" xr:uid="{00000000-0005-0000-0000-0000ED120000}"/>
    <cellStyle name="Comma 5 6 5 4 3" xfId="8715" xr:uid="{00000000-0005-0000-0000-0000EE120000}"/>
    <cellStyle name="Comma 5 6 5 5" xfId="3986" xr:uid="{00000000-0005-0000-0000-0000EF120000}"/>
    <cellStyle name="Comma 5 6 5 5 2" xfId="9619" xr:uid="{00000000-0005-0000-0000-0000F0120000}"/>
    <cellStyle name="Comma 5 6 5 6" xfId="6961" xr:uid="{00000000-0005-0000-0000-0000F1120000}"/>
    <cellStyle name="Comma 5 6 6" xfId="957" xr:uid="{00000000-0005-0000-0000-0000F2120000}"/>
    <cellStyle name="Comma 5 6 6 2" xfId="2071" xr:uid="{00000000-0005-0000-0000-0000F3120000}"/>
    <cellStyle name="Comma 5 6 6 2 2" xfId="5418" xr:uid="{00000000-0005-0000-0000-0000F4120000}"/>
    <cellStyle name="Comma 5 6 6 2 2 2" xfId="10732" xr:uid="{00000000-0005-0000-0000-0000F5120000}"/>
    <cellStyle name="Comma 5 6 6 2 3" xfId="8074" xr:uid="{00000000-0005-0000-0000-0000F6120000}"/>
    <cellStyle name="Comma 5 6 6 3" xfId="2992" xr:uid="{00000000-0005-0000-0000-0000F7120000}"/>
    <cellStyle name="Comma 5 6 6 3 2" xfId="6295" xr:uid="{00000000-0005-0000-0000-0000F8120000}"/>
    <cellStyle name="Comma 5 6 6 3 2 2" xfId="11609" xr:uid="{00000000-0005-0000-0000-0000F9120000}"/>
    <cellStyle name="Comma 5 6 6 3 3" xfId="8951" xr:uid="{00000000-0005-0000-0000-0000FA120000}"/>
    <cellStyle name="Comma 5 6 6 4" xfId="4349" xr:uid="{00000000-0005-0000-0000-0000FB120000}"/>
    <cellStyle name="Comma 5 6 6 4 2" xfId="9855" xr:uid="{00000000-0005-0000-0000-0000FC120000}"/>
    <cellStyle name="Comma 5 6 6 5" xfId="7197" xr:uid="{00000000-0005-0000-0000-0000FD120000}"/>
    <cellStyle name="Comma 5 6 7" xfId="1632" xr:uid="{00000000-0005-0000-0000-0000FE120000}"/>
    <cellStyle name="Comma 5 6 7 2" xfId="4982" xr:uid="{00000000-0005-0000-0000-0000FF120000}"/>
    <cellStyle name="Comma 5 6 7 2 2" xfId="10296" xr:uid="{00000000-0005-0000-0000-000000130000}"/>
    <cellStyle name="Comma 5 6 7 3" xfId="7638" xr:uid="{00000000-0005-0000-0000-000001130000}"/>
    <cellStyle name="Comma 5 6 8" xfId="2553" xr:uid="{00000000-0005-0000-0000-000002130000}"/>
    <cellStyle name="Comma 5 6 8 2" xfId="5859" xr:uid="{00000000-0005-0000-0000-000003130000}"/>
    <cellStyle name="Comma 5 6 8 2 2" xfId="11173" xr:uid="{00000000-0005-0000-0000-000004130000}"/>
    <cellStyle name="Comma 5 6 8 3" xfId="8515" xr:uid="{00000000-0005-0000-0000-000005130000}"/>
    <cellStyle name="Comma 5 6 9" xfId="3664" xr:uid="{00000000-0005-0000-0000-000006130000}"/>
    <cellStyle name="Comma 5 6 9 2" xfId="9419" xr:uid="{00000000-0005-0000-0000-000007130000}"/>
    <cellStyle name="Comma 6" xfId="29" xr:uid="{00000000-0005-0000-0000-000008130000}"/>
    <cellStyle name="Comma 6 2" xfId="30" xr:uid="{00000000-0005-0000-0000-000009130000}"/>
    <cellStyle name="Comma 6 2 2" xfId="159" xr:uid="{00000000-0005-0000-0000-00000A130000}"/>
    <cellStyle name="Comma 6 2 2 2" xfId="365" xr:uid="{00000000-0005-0000-0000-00000B130000}"/>
    <cellStyle name="Comma 6 2 2 2 2" xfId="688" xr:uid="{00000000-0005-0000-0000-00000C130000}"/>
    <cellStyle name="Comma 6 2 2 2 2 2" xfId="1375" xr:uid="{00000000-0005-0000-0000-00000D130000}"/>
    <cellStyle name="Comma 6 2 2 2 2 2 2" xfId="4767" xr:uid="{00000000-0005-0000-0000-00000E130000}"/>
    <cellStyle name="Comma 6 2 2 2 2 3" xfId="4082" xr:uid="{00000000-0005-0000-0000-00000F130000}"/>
    <cellStyle name="Comma 6 2 2 2 3" xfId="1053" xr:uid="{00000000-0005-0000-0000-000010130000}"/>
    <cellStyle name="Comma 6 2 2 2 3 2" xfId="4445" xr:uid="{00000000-0005-0000-0000-000011130000}"/>
    <cellStyle name="Comma 6 2 2 2 4" xfId="3760" xr:uid="{00000000-0005-0000-0000-000012130000}"/>
    <cellStyle name="Comma 6 2 2 3" xfId="540" xr:uid="{00000000-0005-0000-0000-000013130000}"/>
    <cellStyle name="Comma 6 2 2 3 2" xfId="1227" xr:uid="{00000000-0005-0000-0000-000014130000}"/>
    <cellStyle name="Comma 6 2 2 3 2 2" xfId="4619" xr:uid="{00000000-0005-0000-0000-000015130000}"/>
    <cellStyle name="Comma 6 2 2 3 3" xfId="3934" xr:uid="{00000000-0005-0000-0000-000016130000}"/>
    <cellStyle name="Comma 6 2 2 4" xfId="905" xr:uid="{00000000-0005-0000-0000-000017130000}"/>
    <cellStyle name="Comma 6 2 2 4 2" xfId="4297" xr:uid="{00000000-0005-0000-0000-000018130000}"/>
    <cellStyle name="Comma 6 2 2 5" xfId="3612" xr:uid="{00000000-0005-0000-0000-000019130000}"/>
    <cellStyle name="Comma 6 2 3" xfId="158" xr:uid="{00000000-0005-0000-0000-00001A130000}"/>
    <cellStyle name="Comma 6 2 3 2" xfId="364" xr:uid="{00000000-0005-0000-0000-00001B130000}"/>
    <cellStyle name="Comma 6 2 3 2 2" xfId="687" xr:uid="{00000000-0005-0000-0000-00001C130000}"/>
    <cellStyle name="Comma 6 2 3 2 2 2" xfId="1374" xr:uid="{00000000-0005-0000-0000-00001D130000}"/>
    <cellStyle name="Comma 6 2 3 2 2 2 2" xfId="4766" xr:uid="{00000000-0005-0000-0000-00001E130000}"/>
    <cellStyle name="Comma 6 2 3 2 2 3" xfId="4081" xr:uid="{00000000-0005-0000-0000-00001F130000}"/>
    <cellStyle name="Comma 6 2 3 2 3" xfId="1052" xr:uid="{00000000-0005-0000-0000-000020130000}"/>
    <cellStyle name="Comma 6 2 3 2 3 2" xfId="4444" xr:uid="{00000000-0005-0000-0000-000021130000}"/>
    <cellStyle name="Comma 6 2 3 2 4" xfId="3759" xr:uid="{00000000-0005-0000-0000-000022130000}"/>
    <cellStyle name="Comma 6 2 3 3" xfId="539" xr:uid="{00000000-0005-0000-0000-000023130000}"/>
    <cellStyle name="Comma 6 2 3 3 2" xfId="1226" xr:uid="{00000000-0005-0000-0000-000024130000}"/>
    <cellStyle name="Comma 6 2 3 3 2 2" xfId="4618" xr:uid="{00000000-0005-0000-0000-000025130000}"/>
    <cellStyle name="Comma 6 2 3 3 3" xfId="3933" xr:uid="{00000000-0005-0000-0000-000026130000}"/>
    <cellStyle name="Comma 6 2 3 4" xfId="904" xr:uid="{00000000-0005-0000-0000-000027130000}"/>
    <cellStyle name="Comma 6 2 3 4 2" xfId="4296" xr:uid="{00000000-0005-0000-0000-000028130000}"/>
    <cellStyle name="Comma 6 2 3 5" xfId="3611" xr:uid="{00000000-0005-0000-0000-000029130000}"/>
    <cellStyle name="Comma 6 2 4" xfId="103" xr:uid="{00000000-0005-0000-0000-00002A130000}"/>
    <cellStyle name="Comma 6 2 4 2" xfId="1576" xr:uid="{00000000-0005-0000-0000-00002B130000}"/>
    <cellStyle name="Comma 6 2 4 3" xfId="2498" xr:uid="{00000000-0005-0000-0000-00002C130000}"/>
    <cellStyle name="Comma 6 3" xfId="31" xr:uid="{00000000-0005-0000-0000-00002D130000}"/>
    <cellStyle name="Comma 6 3 2" xfId="161" xr:uid="{00000000-0005-0000-0000-00002E130000}"/>
    <cellStyle name="Comma 6 3 2 2" xfId="367" xr:uid="{00000000-0005-0000-0000-00002F130000}"/>
    <cellStyle name="Comma 6 3 2 2 2" xfId="690" xr:uid="{00000000-0005-0000-0000-000030130000}"/>
    <cellStyle name="Comma 6 3 2 2 2 2" xfId="1377" xr:uid="{00000000-0005-0000-0000-000031130000}"/>
    <cellStyle name="Comma 6 3 2 2 2 2 2" xfId="4769" xr:uid="{00000000-0005-0000-0000-000032130000}"/>
    <cellStyle name="Comma 6 3 2 2 2 3" xfId="4084" xr:uid="{00000000-0005-0000-0000-000033130000}"/>
    <cellStyle name="Comma 6 3 2 2 3" xfId="1055" xr:uid="{00000000-0005-0000-0000-000034130000}"/>
    <cellStyle name="Comma 6 3 2 2 3 2" xfId="4447" xr:uid="{00000000-0005-0000-0000-000035130000}"/>
    <cellStyle name="Comma 6 3 2 2 4" xfId="3762" xr:uid="{00000000-0005-0000-0000-000036130000}"/>
    <cellStyle name="Comma 6 3 2 3" xfId="542" xr:uid="{00000000-0005-0000-0000-000037130000}"/>
    <cellStyle name="Comma 6 3 2 3 2" xfId="1229" xr:uid="{00000000-0005-0000-0000-000038130000}"/>
    <cellStyle name="Comma 6 3 2 3 2 2" xfId="4621" xr:uid="{00000000-0005-0000-0000-000039130000}"/>
    <cellStyle name="Comma 6 3 2 3 3" xfId="3936" xr:uid="{00000000-0005-0000-0000-00003A130000}"/>
    <cellStyle name="Comma 6 3 2 4" xfId="907" xr:uid="{00000000-0005-0000-0000-00003B130000}"/>
    <cellStyle name="Comma 6 3 2 4 2" xfId="4299" xr:uid="{00000000-0005-0000-0000-00003C130000}"/>
    <cellStyle name="Comma 6 3 2 5" xfId="3614" xr:uid="{00000000-0005-0000-0000-00003D130000}"/>
    <cellStyle name="Comma 6 3 3" xfId="160" xr:uid="{00000000-0005-0000-0000-00003E130000}"/>
    <cellStyle name="Comma 6 3 3 2" xfId="366" xr:uid="{00000000-0005-0000-0000-00003F130000}"/>
    <cellStyle name="Comma 6 3 3 2 2" xfId="689" xr:uid="{00000000-0005-0000-0000-000040130000}"/>
    <cellStyle name="Comma 6 3 3 2 2 2" xfId="1376" xr:uid="{00000000-0005-0000-0000-000041130000}"/>
    <cellStyle name="Comma 6 3 3 2 2 2 2" xfId="4768" xr:uid="{00000000-0005-0000-0000-000042130000}"/>
    <cellStyle name="Comma 6 3 3 2 2 3" xfId="4083" xr:uid="{00000000-0005-0000-0000-000043130000}"/>
    <cellStyle name="Comma 6 3 3 2 3" xfId="1054" xr:uid="{00000000-0005-0000-0000-000044130000}"/>
    <cellStyle name="Comma 6 3 3 2 3 2" xfId="4446" xr:uid="{00000000-0005-0000-0000-000045130000}"/>
    <cellStyle name="Comma 6 3 3 2 4" xfId="3761" xr:uid="{00000000-0005-0000-0000-000046130000}"/>
    <cellStyle name="Comma 6 3 3 3" xfId="541" xr:uid="{00000000-0005-0000-0000-000047130000}"/>
    <cellStyle name="Comma 6 3 3 3 2" xfId="1228" xr:uid="{00000000-0005-0000-0000-000048130000}"/>
    <cellStyle name="Comma 6 3 3 3 2 2" xfId="4620" xr:uid="{00000000-0005-0000-0000-000049130000}"/>
    <cellStyle name="Comma 6 3 3 3 3" xfId="3935" xr:uid="{00000000-0005-0000-0000-00004A130000}"/>
    <cellStyle name="Comma 6 3 3 4" xfId="906" xr:uid="{00000000-0005-0000-0000-00004B130000}"/>
    <cellStyle name="Comma 6 3 3 4 2" xfId="4298" xr:uid="{00000000-0005-0000-0000-00004C130000}"/>
    <cellStyle name="Comma 6 3 3 5" xfId="3613" xr:uid="{00000000-0005-0000-0000-00004D130000}"/>
    <cellStyle name="Comma 6 3 4" xfId="104" xr:uid="{00000000-0005-0000-0000-00004E130000}"/>
    <cellStyle name="Comma 6 3 4 2" xfId="1577" xr:uid="{00000000-0005-0000-0000-00004F130000}"/>
    <cellStyle name="Comma 6 3 4 3" xfId="2499" xr:uid="{00000000-0005-0000-0000-000050130000}"/>
    <cellStyle name="Comma 6 4" xfId="32" xr:uid="{00000000-0005-0000-0000-000051130000}"/>
    <cellStyle name="Comma 6 4 2" xfId="163" xr:uid="{00000000-0005-0000-0000-000052130000}"/>
    <cellStyle name="Comma 6 4 2 2" xfId="369" xr:uid="{00000000-0005-0000-0000-000053130000}"/>
    <cellStyle name="Comma 6 4 2 2 2" xfId="692" xr:uid="{00000000-0005-0000-0000-000054130000}"/>
    <cellStyle name="Comma 6 4 2 2 2 2" xfId="1379" xr:uid="{00000000-0005-0000-0000-000055130000}"/>
    <cellStyle name="Comma 6 4 2 2 2 2 2" xfId="4771" xr:uid="{00000000-0005-0000-0000-000056130000}"/>
    <cellStyle name="Comma 6 4 2 2 2 3" xfId="4086" xr:uid="{00000000-0005-0000-0000-000057130000}"/>
    <cellStyle name="Comma 6 4 2 2 3" xfId="1057" xr:uid="{00000000-0005-0000-0000-000058130000}"/>
    <cellStyle name="Comma 6 4 2 2 3 2" xfId="4449" xr:uid="{00000000-0005-0000-0000-000059130000}"/>
    <cellStyle name="Comma 6 4 2 2 4" xfId="3764" xr:uid="{00000000-0005-0000-0000-00005A130000}"/>
    <cellStyle name="Comma 6 4 2 3" xfId="544" xr:uid="{00000000-0005-0000-0000-00005B130000}"/>
    <cellStyle name="Comma 6 4 2 3 2" xfId="1231" xr:uid="{00000000-0005-0000-0000-00005C130000}"/>
    <cellStyle name="Comma 6 4 2 3 2 2" xfId="4623" xr:uid="{00000000-0005-0000-0000-00005D130000}"/>
    <cellStyle name="Comma 6 4 2 3 3" xfId="3938" xr:uid="{00000000-0005-0000-0000-00005E130000}"/>
    <cellStyle name="Comma 6 4 2 4" xfId="909" xr:uid="{00000000-0005-0000-0000-00005F130000}"/>
    <cellStyle name="Comma 6 4 2 4 2" xfId="4301" xr:uid="{00000000-0005-0000-0000-000060130000}"/>
    <cellStyle name="Comma 6 4 2 5" xfId="3616" xr:uid="{00000000-0005-0000-0000-000061130000}"/>
    <cellStyle name="Comma 6 4 3" xfId="162" xr:uid="{00000000-0005-0000-0000-000062130000}"/>
    <cellStyle name="Comma 6 4 3 2" xfId="368" xr:uid="{00000000-0005-0000-0000-000063130000}"/>
    <cellStyle name="Comma 6 4 3 2 2" xfId="691" xr:uid="{00000000-0005-0000-0000-000064130000}"/>
    <cellStyle name="Comma 6 4 3 2 2 2" xfId="1378" xr:uid="{00000000-0005-0000-0000-000065130000}"/>
    <cellStyle name="Comma 6 4 3 2 2 2 2" xfId="4770" xr:uid="{00000000-0005-0000-0000-000066130000}"/>
    <cellStyle name="Comma 6 4 3 2 2 3" xfId="4085" xr:uid="{00000000-0005-0000-0000-000067130000}"/>
    <cellStyle name="Comma 6 4 3 2 3" xfId="1056" xr:uid="{00000000-0005-0000-0000-000068130000}"/>
    <cellStyle name="Comma 6 4 3 2 3 2" xfId="4448" xr:uid="{00000000-0005-0000-0000-000069130000}"/>
    <cellStyle name="Comma 6 4 3 2 4" xfId="3763" xr:uid="{00000000-0005-0000-0000-00006A130000}"/>
    <cellStyle name="Comma 6 4 3 3" xfId="543" xr:uid="{00000000-0005-0000-0000-00006B130000}"/>
    <cellStyle name="Comma 6 4 3 3 2" xfId="1230" xr:uid="{00000000-0005-0000-0000-00006C130000}"/>
    <cellStyle name="Comma 6 4 3 3 2 2" xfId="4622" xr:uid="{00000000-0005-0000-0000-00006D130000}"/>
    <cellStyle name="Comma 6 4 3 3 3" xfId="3937" xr:uid="{00000000-0005-0000-0000-00006E130000}"/>
    <cellStyle name="Comma 6 4 3 4" xfId="908" xr:uid="{00000000-0005-0000-0000-00006F130000}"/>
    <cellStyle name="Comma 6 4 3 4 2" xfId="4300" xr:uid="{00000000-0005-0000-0000-000070130000}"/>
    <cellStyle name="Comma 6 4 3 5" xfId="3615" xr:uid="{00000000-0005-0000-0000-000071130000}"/>
    <cellStyle name="Comma 6 4 4" xfId="105" xr:uid="{00000000-0005-0000-0000-000072130000}"/>
    <cellStyle name="Comma 6 4 4 2" xfId="1578" xr:uid="{00000000-0005-0000-0000-000073130000}"/>
    <cellStyle name="Comma 6 4 4 3" xfId="2500" xr:uid="{00000000-0005-0000-0000-000074130000}"/>
    <cellStyle name="Comma 6 5" xfId="164" xr:uid="{00000000-0005-0000-0000-000075130000}"/>
    <cellStyle name="Comma 6 5 2" xfId="370" xr:uid="{00000000-0005-0000-0000-000076130000}"/>
    <cellStyle name="Comma 6 5 2 2" xfId="693" xr:uid="{00000000-0005-0000-0000-000077130000}"/>
    <cellStyle name="Comma 6 5 2 2 2" xfId="1380" xr:uid="{00000000-0005-0000-0000-000078130000}"/>
    <cellStyle name="Comma 6 5 2 2 2 2" xfId="4772" xr:uid="{00000000-0005-0000-0000-000079130000}"/>
    <cellStyle name="Comma 6 5 2 2 3" xfId="4087" xr:uid="{00000000-0005-0000-0000-00007A130000}"/>
    <cellStyle name="Comma 6 5 2 3" xfId="1058" xr:uid="{00000000-0005-0000-0000-00007B130000}"/>
    <cellStyle name="Comma 6 5 2 3 2" xfId="4450" xr:uid="{00000000-0005-0000-0000-00007C130000}"/>
    <cellStyle name="Comma 6 5 2 4" xfId="3765" xr:uid="{00000000-0005-0000-0000-00007D130000}"/>
    <cellStyle name="Comma 6 5 3" xfId="545" xr:uid="{00000000-0005-0000-0000-00007E130000}"/>
    <cellStyle name="Comma 6 5 3 2" xfId="1232" xr:uid="{00000000-0005-0000-0000-00007F130000}"/>
    <cellStyle name="Comma 6 5 3 2 2" xfId="4624" xr:uid="{00000000-0005-0000-0000-000080130000}"/>
    <cellStyle name="Comma 6 5 3 3" xfId="3939" xr:uid="{00000000-0005-0000-0000-000081130000}"/>
    <cellStyle name="Comma 6 5 4" xfId="910" xr:uid="{00000000-0005-0000-0000-000082130000}"/>
    <cellStyle name="Comma 6 5 4 2" xfId="4302" xr:uid="{00000000-0005-0000-0000-000083130000}"/>
    <cellStyle name="Comma 6 5 5" xfId="3617" xr:uid="{00000000-0005-0000-0000-000084130000}"/>
    <cellStyle name="Comma 6 6" xfId="157" xr:uid="{00000000-0005-0000-0000-000085130000}"/>
    <cellStyle name="Comma 6 6 2" xfId="363" xr:uid="{00000000-0005-0000-0000-000086130000}"/>
    <cellStyle name="Comma 6 6 2 2" xfId="686" xr:uid="{00000000-0005-0000-0000-000087130000}"/>
    <cellStyle name="Comma 6 6 2 2 2" xfId="1373" xr:uid="{00000000-0005-0000-0000-000088130000}"/>
    <cellStyle name="Comma 6 6 2 2 2 2" xfId="4765" xr:uid="{00000000-0005-0000-0000-000089130000}"/>
    <cellStyle name="Comma 6 6 2 2 3" xfId="4080" xr:uid="{00000000-0005-0000-0000-00008A130000}"/>
    <cellStyle name="Comma 6 6 2 3" xfId="1051" xr:uid="{00000000-0005-0000-0000-00008B130000}"/>
    <cellStyle name="Comma 6 6 2 3 2" xfId="4443" xr:uid="{00000000-0005-0000-0000-00008C130000}"/>
    <cellStyle name="Comma 6 6 2 4" xfId="3758" xr:uid="{00000000-0005-0000-0000-00008D130000}"/>
    <cellStyle name="Comma 6 6 3" xfId="538" xr:uid="{00000000-0005-0000-0000-00008E130000}"/>
    <cellStyle name="Comma 6 6 3 2" xfId="1225" xr:uid="{00000000-0005-0000-0000-00008F130000}"/>
    <cellStyle name="Comma 6 6 3 2 2" xfId="4617" xr:uid="{00000000-0005-0000-0000-000090130000}"/>
    <cellStyle name="Comma 6 6 3 3" xfId="3932" xr:uid="{00000000-0005-0000-0000-000091130000}"/>
    <cellStyle name="Comma 6 6 4" xfId="903" xr:uid="{00000000-0005-0000-0000-000092130000}"/>
    <cellStyle name="Comma 6 6 4 2" xfId="4295" xr:uid="{00000000-0005-0000-0000-000093130000}"/>
    <cellStyle name="Comma 6 6 5" xfId="3610" xr:uid="{00000000-0005-0000-0000-000094130000}"/>
    <cellStyle name="Comma 6 7" xfId="102" xr:uid="{00000000-0005-0000-0000-000095130000}"/>
    <cellStyle name="Comma 6 7 2" xfId="1575" xr:uid="{00000000-0005-0000-0000-000096130000}"/>
    <cellStyle name="Comma 6 7 3" xfId="2497" xr:uid="{00000000-0005-0000-0000-000097130000}"/>
    <cellStyle name="Comma 6 8" xfId="269" xr:uid="{00000000-0005-0000-0000-000098130000}"/>
    <cellStyle name="Comma 6 8 2" xfId="1649" xr:uid="{00000000-0005-0000-0000-000099130000}"/>
    <cellStyle name="Comma 6 8 3" xfId="2570" xr:uid="{00000000-0005-0000-0000-00009A130000}"/>
    <cellStyle name="Comma 7" xfId="33" xr:uid="{00000000-0005-0000-0000-00009B130000}"/>
    <cellStyle name="Comma 7 2" xfId="166" xr:uid="{00000000-0005-0000-0000-00009C130000}"/>
    <cellStyle name="Comma 7 2 2" xfId="372" xr:uid="{00000000-0005-0000-0000-00009D130000}"/>
    <cellStyle name="Comma 7 2 2 2" xfId="695" xr:uid="{00000000-0005-0000-0000-00009E130000}"/>
    <cellStyle name="Comma 7 2 2 2 2" xfId="1382" xr:uid="{00000000-0005-0000-0000-00009F130000}"/>
    <cellStyle name="Comma 7 2 2 2 2 2" xfId="4774" xr:uid="{00000000-0005-0000-0000-0000A0130000}"/>
    <cellStyle name="Comma 7 2 2 2 3" xfId="4089" xr:uid="{00000000-0005-0000-0000-0000A1130000}"/>
    <cellStyle name="Comma 7 2 2 3" xfId="1060" xr:uid="{00000000-0005-0000-0000-0000A2130000}"/>
    <cellStyle name="Comma 7 2 2 3 2" xfId="4452" xr:uid="{00000000-0005-0000-0000-0000A3130000}"/>
    <cellStyle name="Comma 7 2 2 4" xfId="3767" xr:uid="{00000000-0005-0000-0000-0000A4130000}"/>
    <cellStyle name="Comma 7 2 3" xfId="547" xr:uid="{00000000-0005-0000-0000-0000A5130000}"/>
    <cellStyle name="Comma 7 2 3 2" xfId="1234" xr:uid="{00000000-0005-0000-0000-0000A6130000}"/>
    <cellStyle name="Comma 7 2 3 2 2" xfId="4626" xr:uid="{00000000-0005-0000-0000-0000A7130000}"/>
    <cellStyle name="Comma 7 2 3 3" xfId="3941" xr:uid="{00000000-0005-0000-0000-0000A8130000}"/>
    <cellStyle name="Comma 7 2 4" xfId="912" xr:uid="{00000000-0005-0000-0000-0000A9130000}"/>
    <cellStyle name="Comma 7 2 4 2" xfId="4304" xr:uid="{00000000-0005-0000-0000-0000AA130000}"/>
    <cellStyle name="Comma 7 2 5" xfId="3619" xr:uid="{00000000-0005-0000-0000-0000AB130000}"/>
    <cellStyle name="Comma 7 3" xfId="165" xr:uid="{00000000-0005-0000-0000-0000AC130000}"/>
    <cellStyle name="Comma 7 3 2" xfId="371" xr:uid="{00000000-0005-0000-0000-0000AD130000}"/>
    <cellStyle name="Comma 7 3 2 2" xfId="694" xr:uid="{00000000-0005-0000-0000-0000AE130000}"/>
    <cellStyle name="Comma 7 3 2 2 2" xfId="1381" xr:uid="{00000000-0005-0000-0000-0000AF130000}"/>
    <cellStyle name="Comma 7 3 2 2 2 2" xfId="4773" xr:uid="{00000000-0005-0000-0000-0000B0130000}"/>
    <cellStyle name="Comma 7 3 2 2 3" xfId="4088" xr:uid="{00000000-0005-0000-0000-0000B1130000}"/>
    <cellStyle name="Comma 7 3 2 3" xfId="1059" xr:uid="{00000000-0005-0000-0000-0000B2130000}"/>
    <cellStyle name="Comma 7 3 2 3 2" xfId="4451" xr:uid="{00000000-0005-0000-0000-0000B3130000}"/>
    <cellStyle name="Comma 7 3 2 4" xfId="3766" xr:uid="{00000000-0005-0000-0000-0000B4130000}"/>
    <cellStyle name="Comma 7 3 3" xfId="546" xr:uid="{00000000-0005-0000-0000-0000B5130000}"/>
    <cellStyle name="Comma 7 3 3 2" xfId="1233" xr:uid="{00000000-0005-0000-0000-0000B6130000}"/>
    <cellStyle name="Comma 7 3 3 2 2" xfId="4625" xr:uid="{00000000-0005-0000-0000-0000B7130000}"/>
    <cellStyle name="Comma 7 3 3 3" xfId="3940" xr:uid="{00000000-0005-0000-0000-0000B8130000}"/>
    <cellStyle name="Comma 7 3 4" xfId="911" xr:uid="{00000000-0005-0000-0000-0000B9130000}"/>
    <cellStyle name="Comma 7 3 4 2" xfId="4303" xr:uid="{00000000-0005-0000-0000-0000BA130000}"/>
    <cellStyle name="Comma 7 3 5" xfId="3618" xr:uid="{00000000-0005-0000-0000-0000BB130000}"/>
    <cellStyle name="Comma 7 4" xfId="106" xr:uid="{00000000-0005-0000-0000-0000BC130000}"/>
    <cellStyle name="Comma 7 4 2" xfId="1579" xr:uid="{00000000-0005-0000-0000-0000BD130000}"/>
    <cellStyle name="Comma 7 4 3" xfId="2501" xr:uid="{00000000-0005-0000-0000-0000BE130000}"/>
    <cellStyle name="Comma 8" xfId="34" xr:uid="{00000000-0005-0000-0000-0000BF130000}"/>
    <cellStyle name="Comma 8 2" xfId="35" xr:uid="{00000000-0005-0000-0000-0000C0130000}"/>
    <cellStyle name="Comma 8 2 2" xfId="169" xr:uid="{00000000-0005-0000-0000-0000C1130000}"/>
    <cellStyle name="Comma 8 2 2 2" xfId="375" xr:uid="{00000000-0005-0000-0000-0000C2130000}"/>
    <cellStyle name="Comma 8 2 2 2 2" xfId="698" xr:uid="{00000000-0005-0000-0000-0000C3130000}"/>
    <cellStyle name="Comma 8 2 2 2 2 2" xfId="1385" xr:uid="{00000000-0005-0000-0000-0000C4130000}"/>
    <cellStyle name="Comma 8 2 2 2 2 2 2" xfId="4777" xr:uid="{00000000-0005-0000-0000-0000C5130000}"/>
    <cellStyle name="Comma 8 2 2 2 2 3" xfId="4092" xr:uid="{00000000-0005-0000-0000-0000C6130000}"/>
    <cellStyle name="Comma 8 2 2 2 3" xfId="1063" xr:uid="{00000000-0005-0000-0000-0000C7130000}"/>
    <cellStyle name="Comma 8 2 2 2 3 2" xfId="4455" xr:uid="{00000000-0005-0000-0000-0000C8130000}"/>
    <cellStyle name="Comma 8 2 2 2 4" xfId="3770" xr:uid="{00000000-0005-0000-0000-0000C9130000}"/>
    <cellStyle name="Comma 8 2 2 3" xfId="550" xr:uid="{00000000-0005-0000-0000-0000CA130000}"/>
    <cellStyle name="Comma 8 2 2 3 2" xfId="1237" xr:uid="{00000000-0005-0000-0000-0000CB130000}"/>
    <cellStyle name="Comma 8 2 2 3 2 2" xfId="4629" xr:uid="{00000000-0005-0000-0000-0000CC130000}"/>
    <cellStyle name="Comma 8 2 2 3 3" xfId="3944" xr:uid="{00000000-0005-0000-0000-0000CD130000}"/>
    <cellStyle name="Comma 8 2 2 4" xfId="915" xr:uid="{00000000-0005-0000-0000-0000CE130000}"/>
    <cellStyle name="Comma 8 2 2 4 2" xfId="4307" xr:uid="{00000000-0005-0000-0000-0000CF130000}"/>
    <cellStyle name="Comma 8 2 2 5" xfId="3622" xr:uid="{00000000-0005-0000-0000-0000D0130000}"/>
    <cellStyle name="Comma 8 2 3" xfId="168" xr:uid="{00000000-0005-0000-0000-0000D1130000}"/>
    <cellStyle name="Comma 8 2 3 2" xfId="374" xr:uid="{00000000-0005-0000-0000-0000D2130000}"/>
    <cellStyle name="Comma 8 2 3 2 2" xfId="697" xr:uid="{00000000-0005-0000-0000-0000D3130000}"/>
    <cellStyle name="Comma 8 2 3 2 2 2" xfId="1384" xr:uid="{00000000-0005-0000-0000-0000D4130000}"/>
    <cellStyle name="Comma 8 2 3 2 2 2 2" xfId="4776" xr:uid="{00000000-0005-0000-0000-0000D5130000}"/>
    <cellStyle name="Comma 8 2 3 2 2 3" xfId="4091" xr:uid="{00000000-0005-0000-0000-0000D6130000}"/>
    <cellStyle name="Comma 8 2 3 2 3" xfId="1062" xr:uid="{00000000-0005-0000-0000-0000D7130000}"/>
    <cellStyle name="Comma 8 2 3 2 3 2" xfId="4454" xr:uid="{00000000-0005-0000-0000-0000D8130000}"/>
    <cellStyle name="Comma 8 2 3 2 4" xfId="3769" xr:uid="{00000000-0005-0000-0000-0000D9130000}"/>
    <cellStyle name="Comma 8 2 3 3" xfId="549" xr:uid="{00000000-0005-0000-0000-0000DA130000}"/>
    <cellStyle name="Comma 8 2 3 3 2" xfId="1236" xr:uid="{00000000-0005-0000-0000-0000DB130000}"/>
    <cellStyle name="Comma 8 2 3 3 2 2" xfId="4628" xr:uid="{00000000-0005-0000-0000-0000DC130000}"/>
    <cellStyle name="Comma 8 2 3 3 3" xfId="3943" xr:uid="{00000000-0005-0000-0000-0000DD130000}"/>
    <cellStyle name="Comma 8 2 3 4" xfId="914" xr:uid="{00000000-0005-0000-0000-0000DE130000}"/>
    <cellStyle name="Comma 8 2 3 4 2" xfId="4306" xr:uid="{00000000-0005-0000-0000-0000DF130000}"/>
    <cellStyle name="Comma 8 2 3 5" xfId="3621" xr:uid="{00000000-0005-0000-0000-0000E0130000}"/>
    <cellStyle name="Comma 8 2 4" xfId="108" xr:uid="{00000000-0005-0000-0000-0000E1130000}"/>
    <cellStyle name="Comma 8 2 4 2" xfId="1581" xr:uid="{00000000-0005-0000-0000-0000E2130000}"/>
    <cellStyle name="Comma 8 2 4 3" xfId="2503" xr:uid="{00000000-0005-0000-0000-0000E3130000}"/>
    <cellStyle name="Comma 8 2 5" xfId="3471" xr:uid="{00000000-0005-0000-0000-0000E4130000}"/>
    <cellStyle name="Comma 8 3" xfId="170" xr:uid="{00000000-0005-0000-0000-0000E5130000}"/>
    <cellStyle name="Comma 8 3 2" xfId="376" xr:uid="{00000000-0005-0000-0000-0000E6130000}"/>
    <cellStyle name="Comma 8 3 2 2" xfId="699" xr:uid="{00000000-0005-0000-0000-0000E7130000}"/>
    <cellStyle name="Comma 8 3 2 2 2" xfId="1386" xr:uid="{00000000-0005-0000-0000-0000E8130000}"/>
    <cellStyle name="Comma 8 3 2 2 2 2" xfId="4778" xr:uid="{00000000-0005-0000-0000-0000E9130000}"/>
    <cellStyle name="Comma 8 3 2 2 3" xfId="4093" xr:uid="{00000000-0005-0000-0000-0000EA130000}"/>
    <cellStyle name="Comma 8 3 2 3" xfId="1064" xr:uid="{00000000-0005-0000-0000-0000EB130000}"/>
    <cellStyle name="Comma 8 3 2 3 2" xfId="4456" xr:uid="{00000000-0005-0000-0000-0000EC130000}"/>
    <cellStyle name="Comma 8 3 2 4" xfId="3771" xr:uid="{00000000-0005-0000-0000-0000ED130000}"/>
    <cellStyle name="Comma 8 3 3" xfId="551" xr:uid="{00000000-0005-0000-0000-0000EE130000}"/>
    <cellStyle name="Comma 8 3 3 2" xfId="1238" xr:uid="{00000000-0005-0000-0000-0000EF130000}"/>
    <cellStyle name="Comma 8 3 3 2 2" xfId="4630" xr:uid="{00000000-0005-0000-0000-0000F0130000}"/>
    <cellStyle name="Comma 8 3 3 3" xfId="3945" xr:uid="{00000000-0005-0000-0000-0000F1130000}"/>
    <cellStyle name="Comma 8 3 4" xfId="916" xr:uid="{00000000-0005-0000-0000-0000F2130000}"/>
    <cellStyle name="Comma 8 3 4 2" xfId="4308" xr:uid="{00000000-0005-0000-0000-0000F3130000}"/>
    <cellStyle name="Comma 8 3 5" xfId="3472" xr:uid="{00000000-0005-0000-0000-0000F4130000}"/>
    <cellStyle name="Comma 8 3 6" xfId="3623" xr:uid="{00000000-0005-0000-0000-0000F5130000}"/>
    <cellStyle name="Comma 8 4" xfId="167" xr:uid="{00000000-0005-0000-0000-0000F6130000}"/>
    <cellStyle name="Comma 8 4 2" xfId="373" xr:uid="{00000000-0005-0000-0000-0000F7130000}"/>
    <cellStyle name="Comma 8 4 2 2" xfId="696" xr:uid="{00000000-0005-0000-0000-0000F8130000}"/>
    <cellStyle name="Comma 8 4 2 2 2" xfId="1383" xr:uid="{00000000-0005-0000-0000-0000F9130000}"/>
    <cellStyle name="Comma 8 4 2 2 2 2" xfId="4775" xr:uid="{00000000-0005-0000-0000-0000FA130000}"/>
    <cellStyle name="Comma 8 4 2 2 3" xfId="4090" xr:uid="{00000000-0005-0000-0000-0000FB130000}"/>
    <cellStyle name="Comma 8 4 2 3" xfId="1061" xr:uid="{00000000-0005-0000-0000-0000FC130000}"/>
    <cellStyle name="Comma 8 4 2 3 2" xfId="4453" xr:uid="{00000000-0005-0000-0000-0000FD130000}"/>
    <cellStyle name="Comma 8 4 2 4" xfId="3768" xr:uid="{00000000-0005-0000-0000-0000FE130000}"/>
    <cellStyle name="Comma 8 4 3" xfId="548" xr:uid="{00000000-0005-0000-0000-0000FF130000}"/>
    <cellStyle name="Comma 8 4 3 2" xfId="1235" xr:uid="{00000000-0005-0000-0000-000000140000}"/>
    <cellStyle name="Comma 8 4 3 2 2" xfId="4627" xr:uid="{00000000-0005-0000-0000-000001140000}"/>
    <cellStyle name="Comma 8 4 3 3" xfId="3942" xr:uid="{00000000-0005-0000-0000-000002140000}"/>
    <cellStyle name="Comma 8 4 4" xfId="913" xr:uid="{00000000-0005-0000-0000-000003140000}"/>
    <cellStyle name="Comma 8 4 4 2" xfId="4305" xr:uid="{00000000-0005-0000-0000-000004140000}"/>
    <cellStyle name="Comma 8 4 5" xfId="3473" xr:uid="{00000000-0005-0000-0000-000005140000}"/>
    <cellStyle name="Comma 8 4 6" xfId="3620" xr:uid="{00000000-0005-0000-0000-000006140000}"/>
    <cellStyle name="Comma 8 5" xfId="107" xr:uid="{00000000-0005-0000-0000-000007140000}"/>
    <cellStyle name="Comma 8 5 2" xfId="1580" xr:uid="{00000000-0005-0000-0000-000008140000}"/>
    <cellStyle name="Comma 8 5 3" xfId="2502" xr:uid="{00000000-0005-0000-0000-000009140000}"/>
    <cellStyle name="Comma 8 6" xfId="3470" xr:uid="{00000000-0005-0000-0000-00000A140000}"/>
    <cellStyle name="Comma 9" xfId="36" xr:uid="{00000000-0005-0000-0000-00000B140000}"/>
    <cellStyle name="Comma 9 2" xfId="37" xr:uid="{00000000-0005-0000-0000-00000C140000}"/>
    <cellStyle name="Comma 9 2 2" xfId="172" xr:uid="{00000000-0005-0000-0000-00000D140000}"/>
    <cellStyle name="Comma 9 2 2 2" xfId="378" xr:uid="{00000000-0005-0000-0000-00000E140000}"/>
    <cellStyle name="Comma 9 2 2 2 2" xfId="701" xr:uid="{00000000-0005-0000-0000-00000F140000}"/>
    <cellStyle name="Comma 9 2 2 2 2 2" xfId="1388" xr:uid="{00000000-0005-0000-0000-000010140000}"/>
    <cellStyle name="Comma 9 2 2 2 2 2 2" xfId="4780" xr:uid="{00000000-0005-0000-0000-000011140000}"/>
    <cellStyle name="Comma 9 2 2 2 2 3" xfId="4095" xr:uid="{00000000-0005-0000-0000-000012140000}"/>
    <cellStyle name="Comma 9 2 2 2 3" xfId="1066" xr:uid="{00000000-0005-0000-0000-000013140000}"/>
    <cellStyle name="Comma 9 2 2 2 3 2" xfId="4458" xr:uid="{00000000-0005-0000-0000-000014140000}"/>
    <cellStyle name="Comma 9 2 2 2 4" xfId="3773" xr:uid="{00000000-0005-0000-0000-000015140000}"/>
    <cellStyle name="Comma 9 2 2 3" xfId="553" xr:uid="{00000000-0005-0000-0000-000016140000}"/>
    <cellStyle name="Comma 9 2 2 3 2" xfId="1240" xr:uid="{00000000-0005-0000-0000-000017140000}"/>
    <cellStyle name="Comma 9 2 2 3 2 2" xfId="4632" xr:uid="{00000000-0005-0000-0000-000018140000}"/>
    <cellStyle name="Comma 9 2 2 3 3" xfId="3947" xr:uid="{00000000-0005-0000-0000-000019140000}"/>
    <cellStyle name="Comma 9 2 2 4" xfId="918" xr:uid="{00000000-0005-0000-0000-00001A140000}"/>
    <cellStyle name="Comma 9 2 2 4 2" xfId="4310" xr:uid="{00000000-0005-0000-0000-00001B140000}"/>
    <cellStyle name="Comma 9 2 2 5" xfId="3625" xr:uid="{00000000-0005-0000-0000-00001C140000}"/>
    <cellStyle name="Comma 9 2 3" xfId="110" xr:uid="{00000000-0005-0000-0000-00001D140000}"/>
    <cellStyle name="Comma 9 2 3 2" xfId="1583" xr:uid="{00000000-0005-0000-0000-00001E140000}"/>
    <cellStyle name="Comma 9 2 3 3" xfId="2505" xr:uid="{00000000-0005-0000-0000-00001F140000}"/>
    <cellStyle name="Comma 9 3" xfId="171" xr:uid="{00000000-0005-0000-0000-000020140000}"/>
    <cellStyle name="Comma 9 3 2" xfId="377" xr:uid="{00000000-0005-0000-0000-000021140000}"/>
    <cellStyle name="Comma 9 3 2 2" xfId="700" xr:uid="{00000000-0005-0000-0000-000022140000}"/>
    <cellStyle name="Comma 9 3 2 2 2" xfId="1387" xr:uid="{00000000-0005-0000-0000-000023140000}"/>
    <cellStyle name="Comma 9 3 2 2 2 2" xfId="4779" xr:uid="{00000000-0005-0000-0000-000024140000}"/>
    <cellStyle name="Comma 9 3 2 2 3" xfId="4094" xr:uid="{00000000-0005-0000-0000-000025140000}"/>
    <cellStyle name="Comma 9 3 2 3" xfId="1065" xr:uid="{00000000-0005-0000-0000-000026140000}"/>
    <cellStyle name="Comma 9 3 2 3 2" xfId="4457" xr:uid="{00000000-0005-0000-0000-000027140000}"/>
    <cellStyle name="Comma 9 3 2 4" xfId="3772" xr:uid="{00000000-0005-0000-0000-000028140000}"/>
    <cellStyle name="Comma 9 3 3" xfId="552" xr:uid="{00000000-0005-0000-0000-000029140000}"/>
    <cellStyle name="Comma 9 3 3 2" xfId="1239" xr:uid="{00000000-0005-0000-0000-00002A140000}"/>
    <cellStyle name="Comma 9 3 3 2 2" xfId="4631" xr:uid="{00000000-0005-0000-0000-00002B140000}"/>
    <cellStyle name="Comma 9 3 3 3" xfId="3946" xr:uid="{00000000-0005-0000-0000-00002C140000}"/>
    <cellStyle name="Comma 9 3 4" xfId="917" xr:uid="{00000000-0005-0000-0000-00002D140000}"/>
    <cellStyle name="Comma 9 3 4 2" xfId="4309" xr:uid="{00000000-0005-0000-0000-00002E140000}"/>
    <cellStyle name="Comma 9 3 5" xfId="3624" xr:uid="{00000000-0005-0000-0000-00002F140000}"/>
    <cellStyle name="Comma 9 4" xfId="109" xr:uid="{00000000-0005-0000-0000-000030140000}"/>
    <cellStyle name="Comma 9 4 2" xfId="1582" xr:uid="{00000000-0005-0000-0000-000031140000}"/>
    <cellStyle name="Comma 9 4 3" xfId="2504" xr:uid="{00000000-0005-0000-0000-000032140000}"/>
    <cellStyle name="Comma 9 5" xfId="3474" xr:uid="{00000000-0005-0000-0000-000033140000}"/>
    <cellStyle name="Comma 9 5 2" xfId="9358" xr:uid="{00000000-0005-0000-0000-000034140000}"/>
    <cellStyle name="Currency [00]" xfId="3475" xr:uid="{00000000-0005-0000-0000-000036140000}"/>
    <cellStyle name="Currency 2" xfId="38" xr:uid="{00000000-0005-0000-0000-000037140000}"/>
    <cellStyle name="Currency 2 2" xfId="3476" xr:uid="{00000000-0005-0000-0000-000038140000}"/>
    <cellStyle name="Currency 3" xfId="12012" xr:uid="{2EDF3030-7BCF-45E4-BA00-4DE30EE94BE6}"/>
    <cellStyle name="Date Short" xfId="3477" xr:uid="{00000000-0005-0000-0000-000039140000}"/>
    <cellStyle name="DELTA" xfId="3478" xr:uid="{00000000-0005-0000-0000-00003A140000}"/>
    <cellStyle name="Enter Currency (0)" xfId="3479" xr:uid="{00000000-0005-0000-0000-00003B140000}"/>
    <cellStyle name="Enter Currency (2)" xfId="3480" xr:uid="{00000000-0005-0000-0000-00003C140000}"/>
    <cellStyle name="Enter Units (0)" xfId="3435" xr:uid="{00000000-0005-0000-0000-00003D140000}"/>
    <cellStyle name="Enter Units (1)" xfId="3481" xr:uid="{00000000-0005-0000-0000-00003E140000}"/>
    <cellStyle name="Enter Units (2)" xfId="3483" xr:uid="{00000000-0005-0000-0000-00003F140000}"/>
    <cellStyle name="Euro" xfId="3484" xr:uid="{00000000-0005-0000-0000-000040140000}"/>
    <cellStyle name="Excel Built-in Excel Built-in Excel Built-in Excel Built-in Excel Built-in Excel Built-in TableStyleLight1" xfId="173" xr:uid="{00000000-0005-0000-0000-000041140000}"/>
    <cellStyle name="Excel Built-in Normal" xfId="3486" xr:uid="{00000000-0005-0000-0000-000042140000}"/>
    <cellStyle name="Excel Built-in Normal 2" xfId="3487" xr:uid="{00000000-0005-0000-0000-000043140000}"/>
    <cellStyle name="Explanatory Text 2" xfId="270" xr:uid="{00000000-0005-0000-0000-000044140000}"/>
    <cellStyle name="Good 2" xfId="271" xr:uid="{00000000-0005-0000-0000-000045140000}"/>
    <cellStyle name="Grey" xfId="3488" xr:uid="{00000000-0005-0000-0000-000046140000}"/>
    <cellStyle name="Header1" xfId="3489" xr:uid="{00000000-0005-0000-0000-000047140000}"/>
    <cellStyle name="Header2" xfId="3491" xr:uid="{00000000-0005-0000-0000-000048140000}"/>
    <cellStyle name="Header2 2" xfId="9359" xr:uid="{00000000-0005-0000-0000-000049140000}"/>
    <cellStyle name="Heading 1 2" xfId="272" xr:uid="{00000000-0005-0000-0000-00004A140000}"/>
    <cellStyle name="Heading 2 2" xfId="273" xr:uid="{00000000-0005-0000-0000-00004B140000}"/>
    <cellStyle name="Heading 3 2" xfId="274" xr:uid="{00000000-0005-0000-0000-00004C140000}"/>
    <cellStyle name="Heading 4 2" xfId="275" xr:uid="{00000000-0005-0000-0000-00004D140000}"/>
    <cellStyle name="Input [yellow]" xfId="3492" xr:uid="{00000000-0005-0000-0000-00004E140000}"/>
    <cellStyle name="Input 2" xfId="276" xr:uid="{00000000-0005-0000-0000-00004F140000}"/>
    <cellStyle name="Input 2 2" xfId="6774" xr:uid="{00000000-0005-0000-0000-000050140000}"/>
    <cellStyle name="Link Currency (0)" xfId="3493" xr:uid="{00000000-0005-0000-0000-000051140000}"/>
    <cellStyle name="Link Currency (2)" xfId="3494" xr:uid="{00000000-0005-0000-0000-000052140000}"/>
    <cellStyle name="Link Units (0)" xfId="3495" xr:uid="{00000000-0005-0000-0000-000053140000}"/>
    <cellStyle name="Link Units (1)" xfId="3496" xr:uid="{00000000-0005-0000-0000-000054140000}"/>
    <cellStyle name="Link Units (2)" xfId="3401" xr:uid="{00000000-0005-0000-0000-000055140000}"/>
    <cellStyle name="Linked Cell 2" xfId="277" xr:uid="{00000000-0005-0000-0000-000056140000}"/>
    <cellStyle name="Milliers [0]_laroux" xfId="3413" xr:uid="{00000000-0005-0000-0000-000057140000}"/>
    <cellStyle name="Milliers_laroux" xfId="3411" xr:uid="{00000000-0005-0000-0000-000058140000}"/>
    <cellStyle name="Monétaire [0]_laroux" xfId="3497" xr:uid="{00000000-0005-0000-0000-000059140000}"/>
    <cellStyle name="Monétaire_laroux" xfId="3498" xr:uid="{00000000-0005-0000-0000-00005A140000}"/>
    <cellStyle name="Neutral 2" xfId="278" xr:uid="{00000000-0005-0000-0000-00005B140000}"/>
    <cellStyle name="Normal" xfId="0" builtinId="0"/>
    <cellStyle name="Normal - Style1" xfId="3410" xr:uid="{00000000-0005-0000-0000-00005D140000}"/>
    <cellStyle name="Normal 1" xfId="3500" xr:uid="{00000000-0005-0000-0000-00005E140000}"/>
    <cellStyle name="Normal 10" xfId="39" xr:uid="{00000000-0005-0000-0000-00005F140000}"/>
    <cellStyle name="Normal 10 2" xfId="40" xr:uid="{00000000-0005-0000-0000-000060140000}"/>
    <cellStyle name="Normal 11" xfId="41" xr:uid="{00000000-0005-0000-0000-000061140000}"/>
    <cellStyle name="Normal 11 2" xfId="3501" xr:uid="{00000000-0005-0000-0000-000062140000}"/>
    <cellStyle name="Normal 12" xfId="67" xr:uid="{00000000-0005-0000-0000-000063140000}"/>
    <cellStyle name="Normal 12 2" xfId="76" xr:uid="{00000000-0005-0000-0000-000064140000}"/>
    <cellStyle name="Normal 13" xfId="116" xr:uid="{00000000-0005-0000-0000-000065140000}"/>
    <cellStyle name="Normal 13 10" xfId="3569" xr:uid="{00000000-0005-0000-0000-000066140000}"/>
    <cellStyle name="Normal 13 10 2" xfId="9380" xr:uid="{00000000-0005-0000-0000-000067140000}"/>
    <cellStyle name="Normal 13 11" xfId="6717" xr:uid="{00000000-0005-0000-0000-000068140000}"/>
    <cellStyle name="Normal 13 2" xfId="179" xr:uid="{00000000-0005-0000-0000-000069140000}"/>
    <cellStyle name="Normal 13 2 10" xfId="6719" xr:uid="{00000000-0005-0000-0000-00006A140000}"/>
    <cellStyle name="Normal 13 2 2" xfId="181" xr:uid="{00000000-0005-0000-0000-00006B140000}"/>
    <cellStyle name="Normal 13 2 2 2" xfId="214" xr:uid="{00000000-0005-0000-0000-00006C140000}"/>
    <cellStyle name="Normal 13 2 2 2 2" xfId="409" xr:uid="{00000000-0005-0000-0000-00006D140000}"/>
    <cellStyle name="Normal 13 2 2 2 2 2" xfId="732" xr:uid="{00000000-0005-0000-0000-00006E140000}"/>
    <cellStyle name="Normal 13 2 2 2 2 2 2" xfId="1419" xr:uid="{00000000-0005-0000-0000-00006F140000}"/>
    <cellStyle name="Normal 13 2 2 2 2 2 2 2" xfId="2351" xr:uid="{00000000-0005-0000-0000-000070140000}"/>
    <cellStyle name="Normal 13 2 2 2 2 2 2 2 2" xfId="5698" xr:uid="{00000000-0005-0000-0000-000071140000}"/>
    <cellStyle name="Normal 13 2 2 2 2 2 2 2 2 2" xfId="11012" xr:uid="{00000000-0005-0000-0000-000072140000}"/>
    <cellStyle name="Normal 13 2 2 2 2 2 2 2 3" xfId="8354" xr:uid="{00000000-0005-0000-0000-000073140000}"/>
    <cellStyle name="Normal 13 2 2 2 2 2 2 3" xfId="3272" xr:uid="{00000000-0005-0000-0000-000074140000}"/>
    <cellStyle name="Normal 13 2 2 2 2 2 2 3 2" xfId="6575" xr:uid="{00000000-0005-0000-0000-000075140000}"/>
    <cellStyle name="Normal 13 2 2 2 2 2 2 3 2 2" xfId="11889" xr:uid="{00000000-0005-0000-0000-000076140000}"/>
    <cellStyle name="Normal 13 2 2 2 2 2 2 3 3" xfId="9231" xr:uid="{00000000-0005-0000-0000-000077140000}"/>
    <cellStyle name="Normal 13 2 2 2 2 2 2 4" xfId="4811" xr:uid="{00000000-0005-0000-0000-000078140000}"/>
    <cellStyle name="Normal 13 2 2 2 2 2 2 4 2" xfId="10135" xr:uid="{00000000-0005-0000-0000-000079140000}"/>
    <cellStyle name="Normal 13 2 2 2 2 2 2 5" xfId="7477" xr:uid="{00000000-0005-0000-0000-00007A140000}"/>
    <cellStyle name="Normal 13 2 2 2 2 2 3" xfId="1913" xr:uid="{00000000-0005-0000-0000-00007B140000}"/>
    <cellStyle name="Normal 13 2 2 2 2 2 3 2" xfId="5262" xr:uid="{00000000-0005-0000-0000-00007C140000}"/>
    <cellStyle name="Normal 13 2 2 2 2 2 3 2 2" xfId="10576" xr:uid="{00000000-0005-0000-0000-00007D140000}"/>
    <cellStyle name="Normal 13 2 2 2 2 2 3 3" xfId="7918" xr:uid="{00000000-0005-0000-0000-00007E140000}"/>
    <cellStyle name="Normal 13 2 2 2 2 2 4" xfId="2834" xr:uid="{00000000-0005-0000-0000-00007F140000}"/>
    <cellStyle name="Normal 13 2 2 2 2 2 4 2" xfId="6139" xr:uid="{00000000-0005-0000-0000-000080140000}"/>
    <cellStyle name="Normal 13 2 2 2 2 2 4 2 2" xfId="11453" xr:uid="{00000000-0005-0000-0000-000081140000}"/>
    <cellStyle name="Normal 13 2 2 2 2 2 4 3" xfId="8795" xr:uid="{00000000-0005-0000-0000-000082140000}"/>
    <cellStyle name="Normal 13 2 2 2 2 2 5" xfId="4126" xr:uid="{00000000-0005-0000-0000-000083140000}"/>
    <cellStyle name="Normal 13 2 2 2 2 2 5 2" xfId="9699" xr:uid="{00000000-0005-0000-0000-000084140000}"/>
    <cellStyle name="Normal 13 2 2 2 2 2 6" xfId="7041" xr:uid="{00000000-0005-0000-0000-000085140000}"/>
    <cellStyle name="Normal 13 2 2 2 2 3" xfId="1097" xr:uid="{00000000-0005-0000-0000-000086140000}"/>
    <cellStyle name="Normal 13 2 2 2 2 3 2" xfId="2151" xr:uid="{00000000-0005-0000-0000-000087140000}"/>
    <cellStyle name="Normal 13 2 2 2 2 3 2 2" xfId="5498" xr:uid="{00000000-0005-0000-0000-000088140000}"/>
    <cellStyle name="Normal 13 2 2 2 2 3 2 2 2" xfId="10812" xr:uid="{00000000-0005-0000-0000-000089140000}"/>
    <cellStyle name="Normal 13 2 2 2 2 3 2 3" xfId="8154" xr:uid="{00000000-0005-0000-0000-00008A140000}"/>
    <cellStyle name="Normal 13 2 2 2 2 3 3" xfId="3072" xr:uid="{00000000-0005-0000-0000-00008B140000}"/>
    <cellStyle name="Normal 13 2 2 2 2 3 3 2" xfId="6375" xr:uid="{00000000-0005-0000-0000-00008C140000}"/>
    <cellStyle name="Normal 13 2 2 2 2 3 3 2 2" xfId="11689" xr:uid="{00000000-0005-0000-0000-00008D140000}"/>
    <cellStyle name="Normal 13 2 2 2 2 3 3 3" xfId="9031" xr:uid="{00000000-0005-0000-0000-00008E140000}"/>
    <cellStyle name="Normal 13 2 2 2 2 3 4" xfId="4489" xr:uid="{00000000-0005-0000-0000-00008F140000}"/>
    <cellStyle name="Normal 13 2 2 2 2 3 4 2" xfId="9935" xr:uid="{00000000-0005-0000-0000-000090140000}"/>
    <cellStyle name="Normal 13 2 2 2 2 3 5" xfId="7277" xr:uid="{00000000-0005-0000-0000-000091140000}"/>
    <cellStyle name="Normal 13 2 2 2 2 4" xfId="1713" xr:uid="{00000000-0005-0000-0000-000092140000}"/>
    <cellStyle name="Normal 13 2 2 2 2 4 2" xfId="5062" xr:uid="{00000000-0005-0000-0000-000093140000}"/>
    <cellStyle name="Normal 13 2 2 2 2 4 2 2" xfId="10376" xr:uid="{00000000-0005-0000-0000-000094140000}"/>
    <cellStyle name="Normal 13 2 2 2 2 4 3" xfId="7718" xr:uid="{00000000-0005-0000-0000-000095140000}"/>
    <cellStyle name="Normal 13 2 2 2 2 5" xfId="2634" xr:uid="{00000000-0005-0000-0000-000096140000}"/>
    <cellStyle name="Normal 13 2 2 2 2 5 2" xfId="5939" xr:uid="{00000000-0005-0000-0000-000097140000}"/>
    <cellStyle name="Normal 13 2 2 2 2 5 2 2" xfId="11253" xr:uid="{00000000-0005-0000-0000-000098140000}"/>
    <cellStyle name="Normal 13 2 2 2 2 5 3" xfId="8595" xr:uid="{00000000-0005-0000-0000-000099140000}"/>
    <cellStyle name="Normal 13 2 2 2 2 6" xfId="3804" xr:uid="{00000000-0005-0000-0000-00009A140000}"/>
    <cellStyle name="Normal 13 2 2 2 2 6 2" xfId="9499" xr:uid="{00000000-0005-0000-0000-00009B140000}"/>
    <cellStyle name="Normal 13 2 2 2 2 7" xfId="6841" xr:uid="{00000000-0005-0000-0000-00009C140000}"/>
    <cellStyle name="Normal 13 2 2 2 3" xfId="583" xr:uid="{00000000-0005-0000-0000-00009D140000}"/>
    <cellStyle name="Normal 13 2 2 2 3 2" xfId="1270" xr:uid="{00000000-0005-0000-0000-00009E140000}"/>
    <cellStyle name="Normal 13 2 2 2 3 2 2" xfId="2262" xr:uid="{00000000-0005-0000-0000-00009F140000}"/>
    <cellStyle name="Normal 13 2 2 2 3 2 2 2" xfId="5609" xr:uid="{00000000-0005-0000-0000-0000A0140000}"/>
    <cellStyle name="Normal 13 2 2 2 3 2 2 2 2" xfId="10923" xr:uid="{00000000-0005-0000-0000-0000A1140000}"/>
    <cellStyle name="Normal 13 2 2 2 3 2 2 3" xfId="8265" xr:uid="{00000000-0005-0000-0000-0000A2140000}"/>
    <cellStyle name="Normal 13 2 2 2 3 2 3" xfId="3183" xr:uid="{00000000-0005-0000-0000-0000A3140000}"/>
    <cellStyle name="Normal 13 2 2 2 3 2 3 2" xfId="6486" xr:uid="{00000000-0005-0000-0000-0000A4140000}"/>
    <cellStyle name="Normal 13 2 2 2 3 2 3 2 2" xfId="11800" xr:uid="{00000000-0005-0000-0000-0000A5140000}"/>
    <cellStyle name="Normal 13 2 2 2 3 2 3 3" xfId="9142" xr:uid="{00000000-0005-0000-0000-0000A6140000}"/>
    <cellStyle name="Normal 13 2 2 2 3 2 4" xfId="4662" xr:uid="{00000000-0005-0000-0000-0000A7140000}"/>
    <cellStyle name="Normal 13 2 2 2 3 2 4 2" xfId="10046" xr:uid="{00000000-0005-0000-0000-0000A8140000}"/>
    <cellStyle name="Normal 13 2 2 2 3 2 5" xfId="7388" xr:uid="{00000000-0005-0000-0000-0000A9140000}"/>
    <cellStyle name="Normal 13 2 2 2 3 3" xfId="1824" xr:uid="{00000000-0005-0000-0000-0000AA140000}"/>
    <cellStyle name="Normal 13 2 2 2 3 3 2" xfId="5173" xr:uid="{00000000-0005-0000-0000-0000AB140000}"/>
    <cellStyle name="Normal 13 2 2 2 3 3 2 2" xfId="10487" xr:uid="{00000000-0005-0000-0000-0000AC140000}"/>
    <cellStyle name="Normal 13 2 2 2 3 3 3" xfId="7829" xr:uid="{00000000-0005-0000-0000-0000AD140000}"/>
    <cellStyle name="Normal 13 2 2 2 3 4" xfId="2745" xr:uid="{00000000-0005-0000-0000-0000AE140000}"/>
    <cellStyle name="Normal 13 2 2 2 3 4 2" xfId="6050" xr:uid="{00000000-0005-0000-0000-0000AF140000}"/>
    <cellStyle name="Normal 13 2 2 2 3 4 2 2" xfId="11364" xr:uid="{00000000-0005-0000-0000-0000B0140000}"/>
    <cellStyle name="Normal 13 2 2 2 3 4 3" xfId="8706" xr:uid="{00000000-0005-0000-0000-0000B1140000}"/>
    <cellStyle name="Normal 13 2 2 2 3 5" xfId="3977" xr:uid="{00000000-0005-0000-0000-0000B2140000}"/>
    <cellStyle name="Normal 13 2 2 2 3 5 2" xfId="9610" xr:uid="{00000000-0005-0000-0000-0000B3140000}"/>
    <cellStyle name="Normal 13 2 2 2 3 6" xfId="6952" xr:uid="{00000000-0005-0000-0000-0000B4140000}"/>
    <cellStyle name="Normal 13 2 2 2 4" xfId="948" xr:uid="{00000000-0005-0000-0000-0000B5140000}"/>
    <cellStyle name="Normal 13 2 2 2 4 2" xfId="2062" xr:uid="{00000000-0005-0000-0000-0000B6140000}"/>
    <cellStyle name="Normal 13 2 2 2 4 2 2" xfId="5409" xr:uid="{00000000-0005-0000-0000-0000B7140000}"/>
    <cellStyle name="Normal 13 2 2 2 4 2 2 2" xfId="10723" xr:uid="{00000000-0005-0000-0000-0000B8140000}"/>
    <cellStyle name="Normal 13 2 2 2 4 2 3" xfId="8065" xr:uid="{00000000-0005-0000-0000-0000B9140000}"/>
    <cellStyle name="Normal 13 2 2 2 4 3" xfId="2983" xr:uid="{00000000-0005-0000-0000-0000BA140000}"/>
    <cellStyle name="Normal 13 2 2 2 4 3 2" xfId="6286" xr:uid="{00000000-0005-0000-0000-0000BB140000}"/>
    <cellStyle name="Normal 13 2 2 2 4 3 2 2" xfId="11600" xr:uid="{00000000-0005-0000-0000-0000BC140000}"/>
    <cellStyle name="Normal 13 2 2 2 4 3 3" xfId="8942" xr:uid="{00000000-0005-0000-0000-0000BD140000}"/>
    <cellStyle name="Normal 13 2 2 2 4 4" xfId="4340" xr:uid="{00000000-0005-0000-0000-0000BE140000}"/>
    <cellStyle name="Normal 13 2 2 2 4 4 2" xfId="9846" xr:uid="{00000000-0005-0000-0000-0000BF140000}"/>
    <cellStyle name="Normal 13 2 2 2 4 5" xfId="7188" xr:uid="{00000000-0005-0000-0000-0000C0140000}"/>
    <cellStyle name="Normal 13 2 2 2 5" xfId="1623" xr:uid="{00000000-0005-0000-0000-0000C1140000}"/>
    <cellStyle name="Normal 13 2 2 2 5 2" xfId="4973" xr:uid="{00000000-0005-0000-0000-0000C2140000}"/>
    <cellStyle name="Normal 13 2 2 2 5 2 2" xfId="10287" xr:uid="{00000000-0005-0000-0000-0000C3140000}"/>
    <cellStyle name="Normal 13 2 2 2 5 3" xfId="7629" xr:uid="{00000000-0005-0000-0000-0000C4140000}"/>
    <cellStyle name="Normal 13 2 2 2 6" xfId="2544" xr:uid="{00000000-0005-0000-0000-0000C5140000}"/>
    <cellStyle name="Normal 13 2 2 2 6 2" xfId="5850" xr:uid="{00000000-0005-0000-0000-0000C6140000}"/>
    <cellStyle name="Normal 13 2 2 2 6 2 2" xfId="11164" xr:uid="{00000000-0005-0000-0000-0000C7140000}"/>
    <cellStyle name="Normal 13 2 2 2 6 3" xfId="8506" xr:uid="{00000000-0005-0000-0000-0000C8140000}"/>
    <cellStyle name="Normal 13 2 2 2 7" xfId="3655" xr:uid="{00000000-0005-0000-0000-0000C9140000}"/>
    <cellStyle name="Normal 13 2 2 2 7 2" xfId="9410" xr:uid="{00000000-0005-0000-0000-0000CA140000}"/>
    <cellStyle name="Normal 13 2 2 2 8" xfId="6747" xr:uid="{00000000-0005-0000-0000-0000CB140000}"/>
    <cellStyle name="Normal 13 2 2 3" xfId="382" xr:uid="{00000000-0005-0000-0000-0000CC140000}"/>
    <cellStyle name="Normal 13 2 2 3 2" xfId="705" xr:uid="{00000000-0005-0000-0000-0000CD140000}"/>
    <cellStyle name="Normal 13 2 2 3 2 2" xfId="1392" xr:uid="{00000000-0005-0000-0000-0000CE140000}"/>
    <cellStyle name="Normal 13 2 2 3 2 2 2" xfId="2325" xr:uid="{00000000-0005-0000-0000-0000CF140000}"/>
    <cellStyle name="Normal 13 2 2 3 2 2 2 2" xfId="5672" xr:uid="{00000000-0005-0000-0000-0000D0140000}"/>
    <cellStyle name="Normal 13 2 2 3 2 2 2 2 2" xfId="10986" xr:uid="{00000000-0005-0000-0000-0000D1140000}"/>
    <cellStyle name="Normal 13 2 2 3 2 2 2 3" xfId="8328" xr:uid="{00000000-0005-0000-0000-0000D2140000}"/>
    <cellStyle name="Normal 13 2 2 3 2 2 3" xfId="3246" xr:uid="{00000000-0005-0000-0000-0000D3140000}"/>
    <cellStyle name="Normal 13 2 2 3 2 2 3 2" xfId="6549" xr:uid="{00000000-0005-0000-0000-0000D4140000}"/>
    <cellStyle name="Normal 13 2 2 3 2 2 3 2 2" xfId="11863" xr:uid="{00000000-0005-0000-0000-0000D5140000}"/>
    <cellStyle name="Normal 13 2 2 3 2 2 3 3" xfId="9205" xr:uid="{00000000-0005-0000-0000-0000D6140000}"/>
    <cellStyle name="Normal 13 2 2 3 2 2 4" xfId="4784" xr:uid="{00000000-0005-0000-0000-0000D7140000}"/>
    <cellStyle name="Normal 13 2 2 3 2 2 4 2" xfId="10109" xr:uid="{00000000-0005-0000-0000-0000D8140000}"/>
    <cellStyle name="Normal 13 2 2 3 2 2 5" xfId="7451" xr:uid="{00000000-0005-0000-0000-0000D9140000}"/>
    <cellStyle name="Normal 13 2 2 3 2 3" xfId="1887" xr:uid="{00000000-0005-0000-0000-0000DA140000}"/>
    <cellStyle name="Normal 13 2 2 3 2 3 2" xfId="5236" xr:uid="{00000000-0005-0000-0000-0000DB140000}"/>
    <cellStyle name="Normal 13 2 2 3 2 3 2 2" xfId="10550" xr:uid="{00000000-0005-0000-0000-0000DC140000}"/>
    <cellStyle name="Normal 13 2 2 3 2 3 3" xfId="7892" xr:uid="{00000000-0005-0000-0000-0000DD140000}"/>
    <cellStyle name="Normal 13 2 2 3 2 4" xfId="2808" xr:uid="{00000000-0005-0000-0000-0000DE140000}"/>
    <cellStyle name="Normal 13 2 2 3 2 4 2" xfId="6113" xr:uid="{00000000-0005-0000-0000-0000DF140000}"/>
    <cellStyle name="Normal 13 2 2 3 2 4 2 2" xfId="11427" xr:uid="{00000000-0005-0000-0000-0000E0140000}"/>
    <cellStyle name="Normal 13 2 2 3 2 4 3" xfId="8769" xr:uid="{00000000-0005-0000-0000-0000E1140000}"/>
    <cellStyle name="Normal 13 2 2 3 2 5" xfId="4099" xr:uid="{00000000-0005-0000-0000-0000E2140000}"/>
    <cellStyle name="Normal 13 2 2 3 2 5 2" xfId="9673" xr:uid="{00000000-0005-0000-0000-0000E3140000}"/>
    <cellStyle name="Normal 13 2 2 3 2 6" xfId="7015" xr:uid="{00000000-0005-0000-0000-0000E4140000}"/>
    <cellStyle name="Normal 13 2 2 3 3" xfId="1070" xr:uid="{00000000-0005-0000-0000-0000E5140000}"/>
    <cellStyle name="Normal 13 2 2 3 3 2" xfId="2125" xr:uid="{00000000-0005-0000-0000-0000E6140000}"/>
    <cellStyle name="Normal 13 2 2 3 3 2 2" xfId="5472" xr:uid="{00000000-0005-0000-0000-0000E7140000}"/>
    <cellStyle name="Normal 13 2 2 3 3 2 2 2" xfId="10786" xr:uid="{00000000-0005-0000-0000-0000E8140000}"/>
    <cellStyle name="Normal 13 2 2 3 3 2 3" xfId="8128" xr:uid="{00000000-0005-0000-0000-0000E9140000}"/>
    <cellStyle name="Normal 13 2 2 3 3 3" xfId="3046" xr:uid="{00000000-0005-0000-0000-0000EA140000}"/>
    <cellStyle name="Normal 13 2 2 3 3 3 2" xfId="6349" xr:uid="{00000000-0005-0000-0000-0000EB140000}"/>
    <cellStyle name="Normal 13 2 2 3 3 3 2 2" xfId="11663" xr:uid="{00000000-0005-0000-0000-0000EC140000}"/>
    <cellStyle name="Normal 13 2 2 3 3 3 3" xfId="9005" xr:uid="{00000000-0005-0000-0000-0000ED140000}"/>
    <cellStyle name="Normal 13 2 2 3 3 4" xfId="4462" xr:uid="{00000000-0005-0000-0000-0000EE140000}"/>
    <cellStyle name="Normal 13 2 2 3 3 4 2" xfId="9909" xr:uid="{00000000-0005-0000-0000-0000EF140000}"/>
    <cellStyle name="Normal 13 2 2 3 3 5" xfId="7251" xr:uid="{00000000-0005-0000-0000-0000F0140000}"/>
    <cellStyle name="Normal 13 2 2 3 4" xfId="1687" xr:uid="{00000000-0005-0000-0000-0000F1140000}"/>
    <cellStyle name="Normal 13 2 2 3 4 2" xfId="5036" xr:uid="{00000000-0005-0000-0000-0000F2140000}"/>
    <cellStyle name="Normal 13 2 2 3 4 2 2" xfId="10350" xr:uid="{00000000-0005-0000-0000-0000F3140000}"/>
    <cellStyle name="Normal 13 2 2 3 4 3" xfId="7692" xr:uid="{00000000-0005-0000-0000-0000F4140000}"/>
    <cellStyle name="Normal 13 2 2 3 5" xfId="2608" xr:uid="{00000000-0005-0000-0000-0000F5140000}"/>
    <cellStyle name="Normal 13 2 2 3 5 2" xfId="5913" xr:uid="{00000000-0005-0000-0000-0000F6140000}"/>
    <cellStyle name="Normal 13 2 2 3 5 2 2" xfId="11227" xr:uid="{00000000-0005-0000-0000-0000F7140000}"/>
    <cellStyle name="Normal 13 2 2 3 5 3" xfId="8569" xr:uid="{00000000-0005-0000-0000-0000F8140000}"/>
    <cellStyle name="Normal 13 2 2 3 6" xfId="3777" xr:uid="{00000000-0005-0000-0000-0000F9140000}"/>
    <cellStyle name="Normal 13 2 2 3 6 2" xfId="9473" xr:uid="{00000000-0005-0000-0000-0000FA140000}"/>
    <cellStyle name="Normal 13 2 2 3 7" xfId="6815" xr:uid="{00000000-0005-0000-0000-0000FB140000}"/>
    <cellStyle name="Normal 13 2 2 4" xfId="557" xr:uid="{00000000-0005-0000-0000-0000FC140000}"/>
    <cellStyle name="Normal 13 2 2 4 2" xfId="1244" xr:uid="{00000000-0005-0000-0000-0000FD140000}"/>
    <cellStyle name="Normal 13 2 2 4 2 2" xfId="2236" xr:uid="{00000000-0005-0000-0000-0000FE140000}"/>
    <cellStyle name="Normal 13 2 2 4 2 2 2" xfId="5583" xr:uid="{00000000-0005-0000-0000-0000FF140000}"/>
    <cellStyle name="Normal 13 2 2 4 2 2 2 2" xfId="10897" xr:uid="{00000000-0005-0000-0000-000000150000}"/>
    <cellStyle name="Normal 13 2 2 4 2 2 3" xfId="8239" xr:uid="{00000000-0005-0000-0000-000001150000}"/>
    <cellStyle name="Normal 13 2 2 4 2 3" xfId="3157" xr:uid="{00000000-0005-0000-0000-000002150000}"/>
    <cellStyle name="Normal 13 2 2 4 2 3 2" xfId="6460" xr:uid="{00000000-0005-0000-0000-000003150000}"/>
    <cellStyle name="Normal 13 2 2 4 2 3 2 2" xfId="11774" xr:uid="{00000000-0005-0000-0000-000004150000}"/>
    <cellStyle name="Normal 13 2 2 4 2 3 3" xfId="9116" xr:uid="{00000000-0005-0000-0000-000005150000}"/>
    <cellStyle name="Normal 13 2 2 4 2 4" xfId="4636" xr:uid="{00000000-0005-0000-0000-000006150000}"/>
    <cellStyle name="Normal 13 2 2 4 2 4 2" xfId="10020" xr:uid="{00000000-0005-0000-0000-000007150000}"/>
    <cellStyle name="Normal 13 2 2 4 2 5" xfId="7362" xr:uid="{00000000-0005-0000-0000-000008150000}"/>
    <cellStyle name="Normal 13 2 2 4 3" xfId="1798" xr:uid="{00000000-0005-0000-0000-000009150000}"/>
    <cellStyle name="Normal 13 2 2 4 3 2" xfId="5147" xr:uid="{00000000-0005-0000-0000-00000A150000}"/>
    <cellStyle name="Normal 13 2 2 4 3 2 2" xfId="10461" xr:uid="{00000000-0005-0000-0000-00000B150000}"/>
    <cellStyle name="Normal 13 2 2 4 3 3" xfId="7803" xr:uid="{00000000-0005-0000-0000-00000C150000}"/>
    <cellStyle name="Normal 13 2 2 4 4" xfId="2719" xr:uid="{00000000-0005-0000-0000-00000D150000}"/>
    <cellStyle name="Normal 13 2 2 4 4 2" xfId="6024" xr:uid="{00000000-0005-0000-0000-00000E150000}"/>
    <cellStyle name="Normal 13 2 2 4 4 2 2" xfId="11338" xr:uid="{00000000-0005-0000-0000-00000F150000}"/>
    <cellStyle name="Normal 13 2 2 4 4 3" xfId="8680" xr:uid="{00000000-0005-0000-0000-000010150000}"/>
    <cellStyle name="Normal 13 2 2 4 5" xfId="3951" xr:uid="{00000000-0005-0000-0000-000011150000}"/>
    <cellStyle name="Normal 13 2 2 4 5 2" xfId="9584" xr:uid="{00000000-0005-0000-0000-000012150000}"/>
    <cellStyle name="Normal 13 2 2 4 6" xfId="6926" xr:uid="{00000000-0005-0000-0000-000013150000}"/>
    <cellStyle name="Normal 13 2 2 5" xfId="922" xr:uid="{00000000-0005-0000-0000-000014150000}"/>
    <cellStyle name="Normal 13 2 2 5 2" xfId="2036" xr:uid="{00000000-0005-0000-0000-000015150000}"/>
    <cellStyle name="Normal 13 2 2 5 2 2" xfId="5383" xr:uid="{00000000-0005-0000-0000-000016150000}"/>
    <cellStyle name="Normal 13 2 2 5 2 2 2" xfId="10697" xr:uid="{00000000-0005-0000-0000-000017150000}"/>
    <cellStyle name="Normal 13 2 2 5 2 3" xfId="8039" xr:uid="{00000000-0005-0000-0000-000018150000}"/>
    <cellStyle name="Normal 13 2 2 5 3" xfId="2957" xr:uid="{00000000-0005-0000-0000-000019150000}"/>
    <cellStyle name="Normal 13 2 2 5 3 2" xfId="6260" xr:uid="{00000000-0005-0000-0000-00001A150000}"/>
    <cellStyle name="Normal 13 2 2 5 3 2 2" xfId="11574" xr:uid="{00000000-0005-0000-0000-00001B150000}"/>
    <cellStyle name="Normal 13 2 2 5 3 3" xfId="8916" xr:uid="{00000000-0005-0000-0000-00001C150000}"/>
    <cellStyle name="Normal 13 2 2 5 4" xfId="4314" xr:uid="{00000000-0005-0000-0000-00001D150000}"/>
    <cellStyle name="Normal 13 2 2 5 4 2" xfId="9820" xr:uid="{00000000-0005-0000-0000-00001E150000}"/>
    <cellStyle name="Normal 13 2 2 5 5" xfId="7162" xr:uid="{00000000-0005-0000-0000-00001F150000}"/>
    <cellStyle name="Normal 13 2 2 6" xfId="1591" xr:uid="{00000000-0005-0000-0000-000020150000}"/>
    <cellStyle name="Normal 13 2 2 6 2" xfId="4947" xr:uid="{00000000-0005-0000-0000-000021150000}"/>
    <cellStyle name="Normal 13 2 2 6 2 2" xfId="10261" xr:uid="{00000000-0005-0000-0000-000022150000}"/>
    <cellStyle name="Normal 13 2 2 6 3" xfId="7603" xr:uid="{00000000-0005-0000-0000-000023150000}"/>
    <cellStyle name="Normal 13 2 2 7" xfId="2513" xr:uid="{00000000-0005-0000-0000-000024150000}"/>
    <cellStyle name="Normal 13 2 2 7 2" xfId="5824" xr:uid="{00000000-0005-0000-0000-000025150000}"/>
    <cellStyle name="Normal 13 2 2 7 2 2" xfId="11138" xr:uid="{00000000-0005-0000-0000-000026150000}"/>
    <cellStyle name="Normal 13 2 2 7 3" xfId="8480" xr:uid="{00000000-0005-0000-0000-000027150000}"/>
    <cellStyle name="Normal 13 2 2 8" xfId="3629" xr:uid="{00000000-0005-0000-0000-000028150000}"/>
    <cellStyle name="Normal 13 2 2 8 2" xfId="9384" xr:uid="{00000000-0005-0000-0000-000029150000}"/>
    <cellStyle name="Normal 13 2 2 9" xfId="6721" xr:uid="{00000000-0005-0000-0000-00002A150000}"/>
    <cellStyle name="Normal 13 2 3" xfId="210" xr:uid="{00000000-0005-0000-0000-00002B150000}"/>
    <cellStyle name="Normal 13 2 3 2" xfId="405" xr:uid="{00000000-0005-0000-0000-00002C150000}"/>
    <cellStyle name="Normal 13 2 3 2 2" xfId="728" xr:uid="{00000000-0005-0000-0000-00002D150000}"/>
    <cellStyle name="Normal 13 2 3 2 2 2" xfId="1415" xr:uid="{00000000-0005-0000-0000-00002E150000}"/>
    <cellStyle name="Normal 13 2 3 2 2 2 2" xfId="2347" xr:uid="{00000000-0005-0000-0000-00002F150000}"/>
    <cellStyle name="Normal 13 2 3 2 2 2 2 2" xfId="5694" xr:uid="{00000000-0005-0000-0000-000030150000}"/>
    <cellStyle name="Normal 13 2 3 2 2 2 2 2 2" xfId="11008" xr:uid="{00000000-0005-0000-0000-000031150000}"/>
    <cellStyle name="Normal 13 2 3 2 2 2 2 3" xfId="8350" xr:uid="{00000000-0005-0000-0000-000032150000}"/>
    <cellStyle name="Normal 13 2 3 2 2 2 3" xfId="3268" xr:uid="{00000000-0005-0000-0000-000033150000}"/>
    <cellStyle name="Normal 13 2 3 2 2 2 3 2" xfId="6571" xr:uid="{00000000-0005-0000-0000-000034150000}"/>
    <cellStyle name="Normal 13 2 3 2 2 2 3 2 2" xfId="11885" xr:uid="{00000000-0005-0000-0000-000035150000}"/>
    <cellStyle name="Normal 13 2 3 2 2 2 3 3" xfId="9227" xr:uid="{00000000-0005-0000-0000-000036150000}"/>
    <cellStyle name="Normal 13 2 3 2 2 2 4" xfId="4807" xr:uid="{00000000-0005-0000-0000-000037150000}"/>
    <cellStyle name="Normal 13 2 3 2 2 2 4 2" xfId="10131" xr:uid="{00000000-0005-0000-0000-000038150000}"/>
    <cellStyle name="Normal 13 2 3 2 2 2 5" xfId="7473" xr:uid="{00000000-0005-0000-0000-000039150000}"/>
    <cellStyle name="Normal 13 2 3 2 2 3" xfId="1909" xr:uid="{00000000-0005-0000-0000-00003A150000}"/>
    <cellStyle name="Normal 13 2 3 2 2 3 2" xfId="5258" xr:uid="{00000000-0005-0000-0000-00003B150000}"/>
    <cellStyle name="Normal 13 2 3 2 2 3 2 2" xfId="10572" xr:uid="{00000000-0005-0000-0000-00003C150000}"/>
    <cellStyle name="Normal 13 2 3 2 2 3 3" xfId="7914" xr:uid="{00000000-0005-0000-0000-00003D150000}"/>
    <cellStyle name="Normal 13 2 3 2 2 4" xfId="2830" xr:uid="{00000000-0005-0000-0000-00003E150000}"/>
    <cellStyle name="Normal 13 2 3 2 2 4 2" xfId="6135" xr:uid="{00000000-0005-0000-0000-00003F150000}"/>
    <cellStyle name="Normal 13 2 3 2 2 4 2 2" xfId="11449" xr:uid="{00000000-0005-0000-0000-000040150000}"/>
    <cellStyle name="Normal 13 2 3 2 2 4 3" xfId="8791" xr:uid="{00000000-0005-0000-0000-000041150000}"/>
    <cellStyle name="Normal 13 2 3 2 2 5" xfId="4122" xr:uid="{00000000-0005-0000-0000-000042150000}"/>
    <cellStyle name="Normal 13 2 3 2 2 5 2" xfId="9695" xr:uid="{00000000-0005-0000-0000-000043150000}"/>
    <cellStyle name="Normal 13 2 3 2 2 6" xfId="7037" xr:uid="{00000000-0005-0000-0000-000044150000}"/>
    <cellStyle name="Normal 13 2 3 2 3" xfId="1093" xr:uid="{00000000-0005-0000-0000-000045150000}"/>
    <cellStyle name="Normal 13 2 3 2 3 2" xfId="2147" xr:uid="{00000000-0005-0000-0000-000046150000}"/>
    <cellStyle name="Normal 13 2 3 2 3 2 2" xfId="5494" xr:uid="{00000000-0005-0000-0000-000047150000}"/>
    <cellStyle name="Normal 13 2 3 2 3 2 2 2" xfId="10808" xr:uid="{00000000-0005-0000-0000-000048150000}"/>
    <cellStyle name="Normal 13 2 3 2 3 2 3" xfId="8150" xr:uid="{00000000-0005-0000-0000-000049150000}"/>
    <cellStyle name="Normal 13 2 3 2 3 3" xfId="3068" xr:uid="{00000000-0005-0000-0000-00004A150000}"/>
    <cellStyle name="Normal 13 2 3 2 3 3 2" xfId="6371" xr:uid="{00000000-0005-0000-0000-00004B150000}"/>
    <cellStyle name="Normal 13 2 3 2 3 3 2 2" xfId="11685" xr:uid="{00000000-0005-0000-0000-00004C150000}"/>
    <cellStyle name="Normal 13 2 3 2 3 3 3" xfId="9027" xr:uid="{00000000-0005-0000-0000-00004D150000}"/>
    <cellStyle name="Normal 13 2 3 2 3 4" xfId="4485" xr:uid="{00000000-0005-0000-0000-00004E150000}"/>
    <cellStyle name="Normal 13 2 3 2 3 4 2" xfId="9931" xr:uid="{00000000-0005-0000-0000-00004F150000}"/>
    <cellStyle name="Normal 13 2 3 2 3 5" xfId="7273" xr:uid="{00000000-0005-0000-0000-000050150000}"/>
    <cellStyle name="Normal 13 2 3 2 4" xfId="1709" xr:uid="{00000000-0005-0000-0000-000051150000}"/>
    <cellStyle name="Normal 13 2 3 2 4 2" xfId="5058" xr:uid="{00000000-0005-0000-0000-000052150000}"/>
    <cellStyle name="Normal 13 2 3 2 4 2 2" xfId="10372" xr:uid="{00000000-0005-0000-0000-000053150000}"/>
    <cellStyle name="Normal 13 2 3 2 4 3" xfId="7714" xr:uid="{00000000-0005-0000-0000-000054150000}"/>
    <cellStyle name="Normal 13 2 3 2 5" xfId="2630" xr:uid="{00000000-0005-0000-0000-000055150000}"/>
    <cellStyle name="Normal 13 2 3 2 5 2" xfId="5935" xr:uid="{00000000-0005-0000-0000-000056150000}"/>
    <cellStyle name="Normal 13 2 3 2 5 2 2" xfId="11249" xr:uid="{00000000-0005-0000-0000-000057150000}"/>
    <cellStyle name="Normal 13 2 3 2 5 3" xfId="8591" xr:uid="{00000000-0005-0000-0000-000058150000}"/>
    <cellStyle name="Normal 13 2 3 2 6" xfId="3800" xr:uid="{00000000-0005-0000-0000-000059150000}"/>
    <cellStyle name="Normal 13 2 3 2 6 2" xfId="9495" xr:uid="{00000000-0005-0000-0000-00005A150000}"/>
    <cellStyle name="Normal 13 2 3 2 7" xfId="6837" xr:uid="{00000000-0005-0000-0000-00005B150000}"/>
    <cellStyle name="Normal 13 2 3 3" xfId="579" xr:uid="{00000000-0005-0000-0000-00005C150000}"/>
    <cellStyle name="Normal 13 2 3 3 2" xfId="1266" xr:uid="{00000000-0005-0000-0000-00005D150000}"/>
    <cellStyle name="Normal 13 2 3 3 2 2" xfId="2258" xr:uid="{00000000-0005-0000-0000-00005E150000}"/>
    <cellStyle name="Normal 13 2 3 3 2 2 2" xfId="5605" xr:uid="{00000000-0005-0000-0000-00005F150000}"/>
    <cellStyle name="Normal 13 2 3 3 2 2 2 2" xfId="10919" xr:uid="{00000000-0005-0000-0000-000060150000}"/>
    <cellStyle name="Normal 13 2 3 3 2 2 3" xfId="8261" xr:uid="{00000000-0005-0000-0000-000061150000}"/>
    <cellStyle name="Normal 13 2 3 3 2 3" xfId="3179" xr:uid="{00000000-0005-0000-0000-000062150000}"/>
    <cellStyle name="Normal 13 2 3 3 2 3 2" xfId="6482" xr:uid="{00000000-0005-0000-0000-000063150000}"/>
    <cellStyle name="Normal 13 2 3 3 2 3 2 2" xfId="11796" xr:uid="{00000000-0005-0000-0000-000064150000}"/>
    <cellStyle name="Normal 13 2 3 3 2 3 3" xfId="9138" xr:uid="{00000000-0005-0000-0000-000065150000}"/>
    <cellStyle name="Normal 13 2 3 3 2 4" xfId="4658" xr:uid="{00000000-0005-0000-0000-000066150000}"/>
    <cellStyle name="Normal 13 2 3 3 2 4 2" xfId="10042" xr:uid="{00000000-0005-0000-0000-000067150000}"/>
    <cellStyle name="Normal 13 2 3 3 2 5" xfId="7384" xr:uid="{00000000-0005-0000-0000-000068150000}"/>
    <cellStyle name="Normal 13 2 3 3 3" xfId="1820" xr:uid="{00000000-0005-0000-0000-000069150000}"/>
    <cellStyle name="Normal 13 2 3 3 3 2" xfId="5169" xr:uid="{00000000-0005-0000-0000-00006A150000}"/>
    <cellStyle name="Normal 13 2 3 3 3 2 2" xfId="10483" xr:uid="{00000000-0005-0000-0000-00006B150000}"/>
    <cellStyle name="Normal 13 2 3 3 3 3" xfId="7825" xr:uid="{00000000-0005-0000-0000-00006C150000}"/>
    <cellStyle name="Normal 13 2 3 3 4" xfId="2741" xr:uid="{00000000-0005-0000-0000-00006D150000}"/>
    <cellStyle name="Normal 13 2 3 3 4 2" xfId="6046" xr:uid="{00000000-0005-0000-0000-00006E150000}"/>
    <cellStyle name="Normal 13 2 3 3 4 2 2" xfId="11360" xr:uid="{00000000-0005-0000-0000-00006F150000}"/>
    <cellStyle name="Normal 13 2 3 3 4 3" xfId="8702" xr:uid="{00000000-0005-0000-0000-000070150000}"/>
    <cellStyle name="Normal 13 2 3 3 5" xfId="3973" xr:uid="{00000000-0005-0000-0000-000071150000}"/>
    <cellStyle name="Normal 13 2 3 3 5 2" xfId="9606" xr:uid="{00000000-0005-0000-0000-000072150000}"/>
    <cellStyle name="Normal 13 2 3 3 6" xfId="6948" xr:uid="{00000000-0005-0000-0000-000073150000}"/>
    <cellStyle name="Normal 13 2 3 4" xfId="944" xr:uid="{00000000-0005-0000-0000-000074150000}"/>
    <cellStyle name="Normal 13 2 3 4 2" xfId="2058" xr:uid="{00000000-0005-0000-0000-000075150000}"/>
    <cellStyle name="Normal 13 2 3 4 2 2" xfId="5405" xr:uid="{00000000-0005-0000-0000-000076150000}"/>
    <cellStyle name="Normal 13 2 3 4 2 2 2" xfId="10719" xr:uid="{00000000-0005-0000-0000-000077150000}"/>
    <cellStyle name="Normal 13 2 3 4 2 3" xfId="8061" xr:uid="{00000000-0005-0000-0000-000078150000}"/>
    <cellStyle name="Normal 13 2 3 4 3" xfId="2979" xr:uid="{00000000-0005-0000-0000-000079150000}"/>
    <cellStyle name="Normal 13 2 3 4 3 2" xfId="6282" xr:uid="{00000000-0005-0000-0000-00007A150000}"/>
    <cellStyle name="Normal 13 2 3 4 3 2 2" xfId="11596" xr:uid="{00000000-0005-0000-0000-00007B150000}"/>
    <cellStyle name="Normal 13 2 3 4 3 3" xfId="8938" xr:uid="{00000000-0005-0000-0000-00007C150000}"/>
    <cellStyle name="Normal 13 2 3 4 4" xfId="4336" xr:uid="{00000000-0005-0000-0000-00007D150000}"/>
    <cellStyle name="Normal 13 2 3 4 4 2" xfId="9842" xr:uid="{00000000-0005-0000-0000-00007E150000}"/>
    <cellStyle name="Normal 13 2 3 4 5" xfId="7184" xr:uid="{00000000-0005-0000-0000-00007F150000}"/>
    <cellStyle name="Normal 13 2 3 5" xfId="1619" xr:uid="{00000000-0005-0000-0000-000080150000}"/>
    <cellStyle name="Normal 13 2 3 5 2" xfId="4969" xr:uid="{00000000-0005-0000-0000-000081150000}"/>
    <cellStyle name="Normal 13 2 3 5 2 2" xfId="10283" xr:uid="{00000000-0005-0000-0000-000082150000}"/>
    <cellStyle name="Normal 13 2 3 5 3" xfId="7625" xr:uid="{00000000-0005-0000-0000-000083150000}"/>
    <cellStyle name="Normal 13 2 3 6" xfId="2540" xr:uid="{00000000-0005-0000-0000-000084150000}"/>
    <cellStyle name="Normal 13 2 3 6 2" xfId="5846" xr:uid="{00000000-0005-0000-0000-000085150000}"/>
    <cellStyle name="Normal 13 2 3 6 2 2" xfId="11160" xr:uid="{00000000-0005-0000-0000-000086150000}"/>
    <cellStyle name="Normal 13 2 3 6 3" xfId="8502" xr:uid="{00000000-0005-0000-0000-000087150000}"/>
    <cellStyle name="Normal 13 2 3 7" xfId="3651" xr:uid="{00000000-0005-0000-0000-000088150000}"/>
    <cellStyle name="Normal 13 2 3 7 2" xfId="9406" xr:uid="{00000000-0005-0000-0000-000089150000}"/>
    <cellStyle name="Normal 13 2 3 8" xfId="6743" xr:uid="{00000000-0005-0000-0000-00008A150000}"/>
    <cellStyle name="Normal 13 2 4" xfId="380" xr:uid="{00000000-0005-0000-0000-00008B150000}"/>
    <cellStyle name="Normal 13 2 4 2" xfId="703" xr:uid="{00000000-0005-0000-0000-00008C150000}"/>
    <cellStyle name="Normal 13 2 4 2 2" xfId="1390" xr:uid="{00000000-0005-0000-0000-00008D150000}"/>
    <cellStyle name="Normal 13 2 4 2 2 2" xfId="2323" xr:uid="{00000000-0005-0000-0000-00008E150000}"/>
    <cellStyle name="Normal 13 2 4 2 2 2 2" xfId="5670" xr:uid="{00000000-0005-0000-0000-00008F150000}"/>
    <cellStyle name="Normal 13 2 4 2 2 2 2 2" xfId="10984" xr:uid="{00000000-0005-0000-0000-000090150000}"/>
    <cellStyle name="Normal 13 2 4 2 2 2 3" xfId="8326" xr:uid="{00000000-0005-0000-0000-000091150000}"/>
    <cellStyle name="Normal 13 2 4 2 2 3" xfId="3244" xr:uid="{00000000-0005-0000-0000-000092150000}"/>
    <cellStyle name="Normal 13 2 4 2 2 3 2" xfId="6547" xr:uid="{00000000-0005-0000-0000-000093150000}"/>
    <cellStyle name="Normal 13 2 4 2 2 3 2 2" xfId="11861" xr:uid="{00000000-0005-0000-0000-000094150000}"/>
    <cellStyle name="Normal 13 2 4 2 2 3 3" xfId="9203" xr:uid="{00000000-0005-0000-0000-000095150000}"/>
    <cellStyle name="Normal 13 2 4 2 2 4" xfId="4782" xr:uid="{00000000-0005-0000-0000-000096150000}"/>
    <cellStyle name="Normal 13 2 4 2 2 4 2" xfId="10107" xr:uid="{00000000-0005-0000-0000-000097150000}"/>
    <cellStyle name="Normal 13 2 4 2 2 5" xfId="7449" xr:uid="{00000000-0005-0000-0000-000098150000}"/>
    <cellStyle name="Normal 13 2 4 2 3" xfId="1885" xr:uid="{00000000-0005-0000-0000-000099150000}"/>
    <cellStyle name="Normal 13 2 4 2 3 2" xfId="5234" xr:uid="{00000000-0005-0000-0000-00009A150000}"/>
    <cellStyle name="Normal 13 2 4 2 3 2 2" xfId="10548" xr:uid="{00000000-0005-0000-0000-00009B150000}"/>
    <cellStyle name="Normal 13 2 4 2 3 3" xfId="7890" xr:uid="{00000000-0005-0000-0000-00009C150000}"/>
    <cellStyle name="Normal 13 2 4 2 4" xfId="2806" xr:uid="{00000000-0005-0000-0000-00009D150000}"/>
    <cellStyle name="Normal 13 2 4 2 4 2" xfId="6111" xr:uid="{00000000-0005-0000-0000-00009E150000}"/>
    <cellStyle name="Normal 13 2 4 2 4 2 2" xfId="11425" xr:uid="{00000000-0005-0000-0000-00009F150000}"/>
    <cellStyle name="Normal 13 2 4 2 4 3" xfId="8767" xr:uid="{00000000-0005-0000-0000-0000A0150000}"/>
    <cellStyle name="Normal 13 2 4 2 5" xfId="4097" xr:uid="{00000000-0005-0000-0000-0000A1150000}"/>
    <cellStyle name="Normal 13 2 4 2 5 2" xfId="9671" xr:uid="{00000000-0005-0000-0000-0000A2150000}"/>
    <cellStyle name="Normal 13 2 4 2 6" xfId="7013" xr:uid="{00000000-0005-0000-0000-0000A3150000}"/>
    <cellStyle name="Normal 13 2 4 3" xfId="1068" xr:uid="{00000000-0005-0000-0000-0000A4150000}"/>
    <cellStyle name="Normal 13 2 4 3 2" xfId="2123" xr:uid="{00000000-0005-0000-0000-0000A5150000}"/>
    <cellStyle name="Normal 13 2 4 3 2 2" xfId="5470" xr:uid="{00000000-0005-0000-0000-0000A6150000}"/>
    <cellStyle name="Normal 13 2 4 3 2 2 2" xfId="10784" xr:uid="{00000000-0005-0000-0000-0000A7150000}"/>
    <cellStyle name="Normal 13 2 4 3 2 3" xfId="8126" xr:uid="{00000000-0005-0000-0000-0000A8150000}"/>
    <cellStyle name="Normal 13 2 4 3 3" xfId="3044" xr:uid="{00000000-0005-0000-0000-0000A9150000}"/>
    <cellStyle name="Normal 13 2 4 3 3 2" xfId="6347" xr:uid="{00000000-0005-0000-0000-0000AA150000}"/>
    <cellStyle name="Normal 13 2 4 3 3 2 2" xfId="11661" xr:uid="{00000000-0005-0000-0000-0000AB150000}"/>
    <cellStyle name="Normal 13 2 4 3 3 3" xfId="9003" xr:uid="{00000000-0005-0000-0000-0000AC150000}"/>
    <cellStyle name="Normal 13 2 4 3 4" xfId="4460" xr:uid="{00000000-0005-0000-0000-0000AD150000}"/>
    <cellStyle name="Normal 13 2 4 3 4 2" xfId="9907" xr:uid="{00000000-0005-0000-0000-0000AE150000}"/>
    <cellStyle name="Normal 13 2 4 3 5" xfId="7249" xr:uid="{00000000-0005-0000-0000-0000AF150000}"/>
    <cellStyle name="Normal 13 2 4 4" xfId="1685" xr:uid="{00000000-0005-0000-0000-0000B0150000}"/>
    <cellStyle name="Normal 13 2 4 4 2" xfId="5034" xr:uid="{00000000-0005-0000-0000-0000B1150000}"/>
    <cellStyle name="Normal 13 2 4 4 2 2" xfId="10348" xr:uid="{00000000-0005-0000-0000-0000B2150000}"/>
    <cellStyle name="Normal 13 2 4 4 3" xfId="7690" xr:uid="{00000000-0005-0000-0000-0000B3150000}"/>
    <cellStyle name="Normal 13 2 4 5" xfId="2606" xr:uid="{00000000-0005-0000-0000-0000B4150000}"/>
    <cellStyle name="Normal 13 2 4 5 2" xfId="5911" xr:uid="{00000000-0005-0000-0000-0000B5150000}"/>
    <cellStyle name="Normal 13 2 4 5 2 2" xfId="11225" xr:uid="{00000000-0005-0000-0000-0000B6150000}"/>
    <cellStyle name="Normal 13 2 4 5 3" xfId="8567" xr:uid="{00000000-0005-0000-0000-0000B7150000}"/>
    <cellStyle name="Normal 13 2 4 6" xfId="3775" xr:uid="{00000000-0005-0000-0000-0000B8150000}"/>
    <cellStyle name="Normal 13 2 4 6 2" xfId="9471" xr:uid="{00000000-0005-0000-0000-0000B9150000}"/>
    <cellStyle name="Normal 13 2 4 7" xfId="6813" xr:uid="{00000000-0005-0000-0000-0000BA150000}"/>
    <cellStyle name="Normal 13 2 5" xfId="555" xr:uid="{00000000-0005-0000-0000-0000BB150000}"/>
    <cellStyle name="Normal 13 2 5 2" xfId="1242" xr:uid="{00000000-0005-0000-0000-0000BC150000}"/>
    <cellStyle name="Normal 13 2 5 2 2" xfId="2234" xr:uid="{00000000-0005-0000-0000-0000BD150000}"/>
    <cellStyle name="Normal 13 2 5 2 2 2" xfId="5581" xr:uid="{00000000-0005-0000-0000-0000BE150000}"/>
    <cellStyle name="Normal 13 2 5 2 2 2 2" xfId="10895" xr:uid="{00000000-0005-0000-0000-0000BF150000}"/>
    <cellStyle name="Normal 13 2 5 2 2 3" xfId="8237" xr:uid="{00000000-0005-0000-0000-0000C0150000}"/>
    <cellStyle name="Normal 13 2 5 2 3" xfId="3155" xr:uid="{00000000-0005-0000-0000-0000C1150000}"/>
    <cellStyle name="Normal 13 2 5 2 3 2" xfId="6458" xr:uid="{00000000-0005-0000-0000-0000C2150000}"/>
    <cellStyle name="Normal 13 2 5 2 3 2 2" xfId="11772" xr:uid="{00000000-0005-0000-0000-0000C3150000}"/>
    <cellStyle name="Normal 13 2 5 2 3 3" xfId="9114" xr:uid="{00000000-0005-0000-0000-0000C4150000}"/>
    <cellStyle name="Normal 13 2 5 2 4" xfId="4634" xr:uid="{00000000-0005-0000-0000-0000C5150000}"/>
    <cellStyle name="Normal 13 2 5 2 4 2" xfId="10018" xr:uid="{00000000-0005-0000-0000-0000C6150000}"/>
    <cellStyle name="Normal 13 2 5 2 5" xfId="7360" xr:uid="{00000000-0005-0000-0000-0000C7150000}"/>
    <cellStyle name="Normal 13 2 5 3" xfId="1796" xr:uid="{00000000-0005-0000-0000-0000C8150000}"/>
    <cellStyle name="Normal 13 2 5 3 2" xfId="5145" xr:uid="{00000000-0005-0000-0000-0000C9150000}"/>
    <cellStyle name="Normal 13 2 5 3 2 2" xfId="10459" xr:uid="{00000000-0005-0000-0000-0000CA150000}"/>
    <cellStyle name="Normal 13 2 5 3 3" xfId="7801" xr:uid="{00000000-0005-0000-0000-0000CB150000}"/>
    <cellStyle name="Normal 13 2 5 4" xfId="2717" xr:uid="{00000000-0005-0000-0000-0000CC150000}"/>
    <cellStyle name="Normal 13 2 5 4 2" xfId="6022" xr:uid="{00000000-0005-0000-0000-0000CD150000}"/>
    <cellStyle name="Normal 13 2 5 4 2 2" xfId="11336" xr:uid="{00000000-0005-0000-0000-0000CE150000}"/>
    <cellStyle name="Normal 13 2 5 4 3" xfId="8678" xr:uid="{00000000-0005-0000-0000-0000CF150000}"/>
    <cellStyle name="Normal 13 2 5 5" xfId="3949" xr:uid="{00000000-0005-0000-0000-0000D0150000}"/>
    <cellStyle name="Normal 13 2 5 5 2" xfId="9582" xr:uid="{00000000-0005-0000-0000-0000D1150000}"/>
    <cellStyle name="Normal 13 2 5 6" xfId="6924" xr:uid="{00000000-0005-0000-0000-0000D2150000}"/>
    <cellStyle name="Normal 13 2 6" xfId="920" xr:uid="{00000000-0005-0000-0000-0000D3150000}"/>
    <cellStyle name="Normal 13 2 6 2" xfId="2034" xr:uid="{00000000-0005-0000-0000-0000D4150000}"/>
    <cellStyle name="Normal 13 2 6 2 2" xfId="5381" xr:uid="{00000000-0005-0000-0000-0000D5150000}"/>
    <cellStyle name="Normal 13 2 6 2 2 2" xfId="10695" xr:uid="{00000000-0005-0000-0000-0000D6150000}"/>
    <cellStyle name="Normal 13 2 6 2 3" xfId="8037" xr:uid="{00000000-0005-0000-0000-0000D7150000}"/>
    <cellStyle name="Normal 13 2 6 3" xfId="2955" xr:uid="{00000000-0005-0000-0000-0000D8150000}"/>
    <cellStyle name="Normal 13 2 6 3 2" xfId="6258" xr:uid="{00000000-0005-0000-0000-0000D9150000}"/>
    <cellStyle name="Normal 13 2 6 3 2 2" xfId="11572" xr:uid="{00000000-0005-0000-0000-0000DA150000}"/>
    <cellStyle name="Normal 13 2 6 3 3" xfId="8914" xr:uid="{00000000-0005-0000-0000-0000DB150000}"/>
    <cellStyle name="Normal 13 2 6 4" xfId="4312" xr:uid="{00000000-0005-0000-0000-0000DC150000}"/>
    <cellStyle name="Normal 13 2 6 4 2" xfId="9818" xr:uid="{00000000-0005-0000-0000-0000DD150000}"/>
    <cellStyle name="Normal 13 2 6 5" xfId="7160" xr:uid="{00000000-0005-0000-0000-0000DE150000}"/>
    <cellStyle name="Normal 13 2 7" xfId="1589" xr:uid="{00000000-0005-0000-0000-0000DF150000}"/>
    <cellStyle name="Normal 13 2 7 2" xfId="4945" xr:uid="{00000000-0005-0000-0000-0000E0150000}"/>
    <cellStyle name="Normal 13 2 7 2 2" xfId="10259" xr:uid="{00000000-0005-0000-0000-0000E1150000}"/>
    <cellStyle name="Normal 13 2 7 3" xfId="7601" xr:uid="{00000000-0005-0000-0000-0000E2150000}"/>
    <cellStyle name="Normal 13 2 8" xfId="2511" xr:uid="{00000000-0005-0000-0000-0000E3150000}"/>
    <cellStyle name="Normal 13 2 8 2" xfId="5822" xr:uid="{00000000-0005-0000-0000-0000E4150000}"/>
    <cellStyle name="Normal 13 2 8 2 2" xfId="11136" xr:uid="{00000000-0005-0000-0000-0000E5150000}"/>
    <cellStyle name="Normal 13 2 8 3" xfId="8478" xr:uid="{00000000-0005-0000-0000-0000E6150000}"/>
    <cellStyle name="Normal 13 2 9" xfId="3627" xr:uid="{00000000-0005-0000-0000-0000E7150000}"/>
    <cellStyle name="Normal 13 2 9 2" xfId="9382" xr:uid="{00000000-0005-0000-0000-0000E8150000}"/>
    <cellStyle name="Normal 13 3" xfId="208" xr:uid="{00000000-0005-0000-0000-0000E9150000}"/>
    <cellStyle name="Normal 13 3 2" xfId="403" xr:uid="{00000000-0005-0000-0000-0000EA150000}"/>
    <cellStyle name="Normal 13 3 2 2" xfId="726" xr:uid="{00000000-0005-0000-0000-0000EB150000}"/>
    <cellStyle name="Normal 13 3 2 2 2" xfId="1413" xr:uid="{00000000-0005-0000-0000-0000EC150000}"/>
    <cellStyle name="Normal 13 3 2 2 2 2" xfId="2345" xr:uid="{00000000-0005-0000-0000-0000ED150000}"/>
    <cellStyle name="Normal 13 3 2 2 2 2 2" xfId="5692" xr:uid="{00000000-0005-0000-0000-0000EE150000}"/>
    <cellStyle name="Normal 13 3 2 2 2 2 2 2" xfId="11006" xr:uid="{00000000-0005-0000-0000-0000EF150000}"/>
    <cellStyle name="Normal 13 3 2 2 2 2 3" xfId="8348" xr:uid="{00000000-0005-0000-0000-0000F0150000}"/>
    <cellStyle name="Normal 13 3 2 2 2 3" xfId="3266" xr:uid="{00000000-0005-0000-0000-0000F1150000}"/>
    <cellStyle name="Normal 13 3 2 2 2 3 2" xfId="6569" xr:uid="{00000000-0005-0000-0000-0000F2150000}"/>
    <cellStyle name="Normal 13 3 2 2 2 3 2 2" xfId="11883" xr:uid="{00000000-0005-0000-0000-0000F3150000}"/>
    <cellStyle name="Normal 13 3 2 2 2 3 3" xfId="9225" xr:uid="{00000000-0005-0000-0000-0000F4150000}"/>
    <cellStyle name="Normal 13 3 2 2 2 4" xfId="4805" xr:uid="{00000000-0005-0000-0000-0000F5150000}"/>
    <cellStyle name="Normal 13 3 2 2 2 4 2" xfId="10129" xr:uid="{00000000-0005-0000-0000-0000F6150000}"/>
    <cellStyle name="Normal 13 3 2 2 2 5" xfId="7471" xr:uid="{00000000-0005-0000-0000-0000F7150000}"/>
    <cellStyle name="Normal 13 3 2 2 3" xfId="1907" xr:uid="{00000000-0005-0000-0000-0000F8150000}"/>
    <cellStyle name="Normal 13 3 2 2 3 2" xfId="5256" xr:uid="{00000000-0005-0000-0000-0000F9150000}"/>
    <cellStyle name="Normal 13 3 2 2 3 2 2" xfId="10570" xr:uid="{00000000-0005-0000-0000-0000FA150000}"/>
    <cellStyle name="Normal 13 3 2 2 3 3" xfId="7912" xr:uid="{00000000-0005-0000-0000-0000FB150000}"/>
    <cellStyle name="Normal 13 3 2 2 4" xfId="2828" xr:uid="{00000000-0005-0000-0000-0000FC150000}"/>
    <cellStyle name="Normal 13 3 2 2 4 2" xfId="6133" xr:uid="{00000000-0005-0000-0000-0000FD150000}"/>
    <cellStyle name="Normal 13 3 2 2 4 2 2" xfId="11447" xr:uid="{00000000-0005-0000-0000-0000FE150000}"/>
    <cellStyle name="Normal 13 3 2 2 4 3" xfId="8789" xr:uid="{00000000-0005-0000-0000-0000FF150000}"/>
    <cellStyle name="Normal 13 3 2 2 5" xfId="4120" xr:uid="{00000000-0005-0000-0000-000000160000}"/>
    <cellStyle name="Normal 13 3 2 2 5 2" xfId="9693" xr:uid="{00000000-0005-0000-0000-000001160000}"/>
    <cellStyle name="Normal 13 3 2 2 6" xfId="7035" xr:uid="{00000000-0005-0000-0000-000002160000}"/>
    <cellStyle name="Normal 13 3 2 3" xfId="1091" xr:uid="{00000000-0005-0000-0000-000003160000}"/>
    <cellStyle name="Normal 13 3 2 3 2" xfId="2145" xr:uid="{00000000-0005-0000-0000-000004160000}"/>
    <cellStyle name="Normal 13 3 2 3 2 2" xfId="5492" xr:uid="{00000000-0005-0000-0000-000005160000}"/>
    <cellStyle name="Normal 13 3 2 3 2 2 2" xfId="10806" xr:uid="{00000000-0005-0000-0000-000006160000}"/>
    <cellStyle name="Normal 13 3 2 3 2 3" xfId="8148" xr:uid="{00000000-0005-0000-0000-000007160000}"/>
    <cellStyle name="Normal 13 3 2 3 3" xfId="3066" xr:uid="{00000000-0005-0000-0000-000008160000}"/>
    <cellStyle name="Normal 13 3 2 3 3 2" xfId="6369" xr:uid="{00000000-0005-0000-0000-000009160000}"/>
    <cellStyle name="Normal 13 3 2 3 3 2 2" xfId="11683" xr:uid="{00000000-0005-0000-0000-00000A160000}"/>
    <cellStyle name="Normal 13 3 2 3 3 3" xfId="9025" xr:uid="{00000000-0005-0000-0000-00000B160000}"/>
    <cellStyle name="Normal 13 3 2 3 4" xfId="4483" xr:uid="{00000000-0005-0000-0000-00000C160000}"/>
    <cellStyle name="Normal 13 3 2 3 4 2" xfId="9929" xr:uid="{00000000-0005-0000-0000-00000D160000}"/>
    <cellStyle name="Normal 13 3 2 3 5" xfId="7271" xr:uid="{00000000-0005-0000-0000-00000E160000}"/>
    <cellStyle name="Normal 13 3 2 4" xfId="1707" xr:uid="{00000000-0005-0000-0000-00000F160000}"/>
    <cellStyle name="Normal 13 3 2 4 2" xfId="5056" xr:uid="{00000000-0005-0000-0000-000010160000}"/>
    <cellStyle name="Normal 13 3 2 4 2 2" xfId="10370" xr:uid="{00000000-0005-0000-0000-000011160000}"/>
    <cellStyle name="Normal 13 3 2 4 3" xfId="7712" xr:uid="{00000000-0005-0000-0000-000012160000}"/>
    <cellStyle name="Normal 13 3 2 5" xfId="2628" xr:uid="{00000000-0005-0000-0000-000013160000}"/>
    <cellStyle name="Normal 13 3 2 5 2" xfId="5933" xr:uid="{00000000-0005-0000-0000-000014160000}"/>
    <cellStyle name="Normal 13 3 2 5 2 2" xfId="11247" xr:uid="{00000000-0005-0000-0000-000015160000}"/>
    <cellStyle name="Normal 13 3 2 5 3" xfId="8589" xr:uid="{00000000-0005-0000-0000-000016160000}"/>
    <cellStyle name="Normal 13 3 2 6" xfId="3798" xr:uid="{00000000-0005-0000-0000-000017160000}"/>
    <cellStyle name="Normal 13 3 2 6 2" xfId="9493" xr:uid="{00000000-0005-0000-0000-000018160000}"/>
    <cellStyle name="Normal 13 3 2 7" xfId="6835" xr:uid="{00000000-0005-0000-0000-000019160000}"/>
    <cellStyle name="Normal 13 3 3" xfId="577" xr:uid="{00000000-0005-0000-0000-00001A160000}"/>
    <cellStyle name="Normal 13 3 3 2" xfId="1264" xr:uid="{00000000-0005-0000-0000-00001B160000}"/>
    <cellStyle name="Normal 13 3 3 2 2" xfId="2256" xr:uid="{00000000-0005-0000-0000-00001C160000}"/>
    <cellStyle name="Normal 13 3 3 2 2 2" xfId="5603" xr:uid="{00000000-0005-0000-0000-00001D160000}"/>
    <cellStyle name="Normal 13 3 3 2 2 2 2" xfId="10917" xr:uid="{00000000-0005-0000-0000-00001E160000}"/>
    <cellStyle name="Normal 13 3 3 2 2 3" xfId="8259" xr:uid="{00000000-0005-0000-0000-00001F160000}"/>
    <cellStyle name="Normal 13 3 3 2 3" xfId="3177" xr:uid="{00000000-0005-0000-0000-000020160000}"/>
    <cellStyle name="Normal 13 3 3 2 3 2" xfId="6480" xr:uid="{00000000-0005-0000-0000-000021160000}"/>
    <cellStyle name="Normal 13 3 3 2 3 2 2" xfId="11794" xr:uid="{00000000-0005-0000-0000-000022160000}"/>
    <cellStyle name="Normal 13 3 3 2 3 3" xfId="9136" xr:uid="{00000000-0005-0000-0000-000023160000}"/>
    <cellStyle name="Normal 13 3 3 2 4" xfId="4656" xr:uid="{00000000-0005-0000-0000-000024160000}"/>
    <cellStyle name="Normal 13 3 3 2 4 2" xfId="10040" xr:uid="{00000000-0005-0000-0000-000025160000}"/>
    <cellStyle name="Normal 13 3 3 2 5" xfId="7382" xr:uid="{00000000-0005-0000-0000-000026160000}"/>
    <cellStyle name="Normal 13 3 3 3" xfId="1818" xr:uid="{00000000-0005-0000-0000-000027160000}"/>
    <cellStyle name="Normal 13 3 3 3 2" xfId="5167" xr:uid="{00000000-0005-0000-0000-000028160000}"/>
    <cellStyle name="Normal 13 3 3 3 2 2" xfId="10481" xr:uid="{00000000-0005-0000-0000-000029160000}"/>
    <cellStyle name="Normal 13 3 3 3 3" xfId="7823" xr:uid="{00000000-0005-0000-0000-00002A160000}"/>
    <cellStyle name="Normal 13 3 3 4" xfId="2739" xr:uid="{00000000-0005-0000-0000-00002B160000}"/>
    <cellStyle name="Normal 13 3 3 4 2" xfId="6044" xr:uid="{00000000-0005-0000-0000-00002C160000}"/>
    <cellStyle name="Normal 13 3 3 4 2 2" xfId="11358" xr:uid="{00000000-0005-0000-0000-00002D160000}"/>
    <cellStyle name="Normal 13 3 3 4 3" xfId="8700" xr:uid="{00000000-0005-0000-0000-00002E160000}"/>
    <cellStyle name="Normal 13 3 3 5" xfId="3971" xr:uid="{00000000-0005-0000-0000-00002F160000}"/>
    <cellStyle name="Normal 13 3 3 5 2" xfId="9604" xr:uid="{00000000-0005-0000-0000-000030160000}"/>
    <cellStyle name="Normal 13 3 3 6" xfId="6946" xr:uid="{00000000-0005-0000-0000-000031160000}"/>
    <cellStyle name="Normal 13 3 4" xfId="942" xr:uid="{00000000-0005-0000-0000-000032160000}"/>
    <cellStyle name="Normal 13 3 4 2" xfId="2056" xr:uid="{00000000-0005-0000-0000-000033160000}"/>
    <cellStyle name="Normal 13 3 4 2 2" xfId="5403" xr:uid="{00000000-0005-0000-0000-000034160000}"/>
    <cellStyle name="Normal 13 3 4 2 2 2" xfId="10717" xr:uid="{00000000-0005-0000-0000-000035160000}"/>
    <cellStyle name="Normal 13 3 4 2 3" xfId="8059" xr:uid="{00000000-0005-0000-0000-000036160000}"/>
    <cellStyle name="Normal 13 3 4 3" xfId="2977" xr:uid="{00000000-0005-0000-0000-000037160000}"/>
    <cellStyle name="Normal 13 3 4 3 2" xfId="6280" xr:uid="{00000000-0005-0000-0000-000038160000}"/>
    <cellStyle name="Normal 13 3 4 3 2 2" xfId="11594" xr:uid="{00000000-0005-0000-0000-000039160000}"/>
    <cellStyle name="Normal 13 3 4 3 3" xfId="8936" xr:uid="{00000000-0005-0000-0000-00003A160000}"/>
    <cellStyle name="Normal 13 3 4 4" xfId="4334" xr:uid="{00000000-0005-0000-0000-00003B160000}"/>
    <cellStyle name="Normal 13 3 4 4 2" xfId="9840" xr:uid="{00000000-0005-0000-0000-00003C160000}"/>
    <cellStyle name="Normal 13 3 4 5" xfId="7182" xr:uid="{00000000-0005-0000-0000-00003D160000}"/>
    <cellStyle name="Normal 13 3 5" xfId="1617" xr:uid="{00000000-0005-0000-0000-00003E160000}"/>
    <cellStyle name="Normal 13 3 5 2" xfId="4967" xr:uid="{00000000-0005-0000-0000-00003F160000}"/>
    <cellStyle name="Normal 13 3 5 2 2" xfId="10281" xr:uid="{00000000-0005-0000-0000-000040160000}"/>
    <cellStyle name="Normal 13 3 5 3" xfId="7623" xr:uid="{00000000-0005-0000-0000-000041160000}"/>
    <cellStyle name="Normal 13 3 6" xfId="2538" xr:uid="{00000000-0005-0000-0000-000042160000}"/>
    <cellStyle name="Normal 13 3 6 2" xfId="5844" xr:uid="{00000000-0005-0000-0000-000043160000}"/>
    <cellStyle name="Normal 13 3 6 2 2" xfId="11158" xr:uid="{00000000-0005-0000-0000-000044160000}"/>
    <cellStyle name="Normal 13 3 6 3" xfId="8500" xr:uid="{00000000-0005-0000-0000-000045160000}"/>
    <cellStyle name="Normal 13 3 7" xfId="3649" xr:uid="{00000000-0005-0000-0000-000046160000}"/>
    <cellStyle name="Normal 13 3 7 2" xfId="9404" xr:uid="{00000000-0005-0000-0000-000047160000}"/>
    <cellStyle name="Normal 13 3 8" xfId="6741" xr:uid="{00000000-0005-0000-0000-000048160000}"/>
    <cellStyle name="Normal 13 4" xfId="237" xr:uid="{00000000-0005-0000-0000-000049160000}"/>
    <cellStyle name="Normal 13 5" xfId="322" xr:uid="{00000000-0005-0000-0000-00004A160000}"/>
    <cellStyle name="Normal 13 5 2" xfId="645" xr:uid="{00000000-0005-0000-0000-00004B160000}"/>
    <cellStyle name="Normal 13 5 2 2" xfId="1332" xr:uid="{00000000-0005-0000-0000-00004C160000}"/>
    <cellStyle name="Normal 13 5 2 2 2" xfId="2321" xr:uid="{00000000-0005-0000-0000-00004D160000}"/>
    <cellStyle name="Normal 13 5 2 2 2 2" xfId="5668" xr:uid="{00000000-0005-0000-0000-00004E160000}"/>
    <cellStyle name="Normal 13 5 2 2 2 2 2" xfId="10982" xr:uid="{00000000-0005-0000-0000-00004F160000}"/>
    <cellStyle name="Normal 13 5 2 2 2 3" xfId="8324" xr:uid="{00000000-0005-0000-0000-000050160000}"/>
    <cellStyle name="Normal 13 5 2 2 3" xfId="3242" xr:uid="{00000000-0005-0000-0000-000051160000}"/>
    <cellStyle name="Normal 13 5 2 2 3 2" xfId="6545" xr:uid="{00000000-0005-0000-0000-000052160000}"/>
    <cellStyle name="Normal 13 5 2 2 3 2 2" xfId="11859" xr:uid="{00000000-0005-0000-0000-000053160000}"/>
    <cellStyle name="Normal 13 5 2 2 3 3" xfId="9201" xr:uid="{00000000-0005-0000-0000-000054160000}"/>
    <cellStyle name="Normal 13 5 2 2 4" xfId="4724" xr:uid="{00000000-0005-0000-0000-000055160000}"/>
    <cellStyle name="Normal 13 5 2 2 4 2" xfId="10105" xr:uid="{00000000-0005-0000-0000-000056160000}"/>
    <cellStyle name="Normal 13 5 2 2 5" xfId="7447" xr:uid="{00000000-0005-0000-0000-000057160000}"/>
    <cellStyle name="Normal 13 5 2 3" xfId="1883" xr:uid="{00000000-0005-0000-0000-000058160000}"/>
    <cellStyle name="Normal 13 5 2 3 2" xfId="5232" xr:uid="{00000000-0005-0000-0000-000059160000}"/>
    <cellStyle name="Normal 13 5 2 3 2 2" xfId="10546" xr:uid="{00000000-0005-0000-0000-00005A160000}"/>
    <cellStyle name="Normal 13 5 2 3 3" xfId="7888" xr:uid="{00000000-0005-0000-0000-00005B160000}"/>
    <cellStyle name="Normal 13 5 2 4" xfId="2804" xr:uid="{00000000-0005-0000-0000-00005C160000}"/>
    <cellStyle name="Normal 13 5 2 4 2" xfId="6109" xr:uid="{00000000-0005-0000-0000-00005D160000}"/>
    <cellStyle name="Normal 13 5 2 4 2 2" xfId="11423" xr:uid="{00000000-0005-0000-0000-00005E160000}"/>
    <cellStyle name="Normal 13 5 2 4 3" xfId="8765" xr:uid="{00000000-0005-0000-0000-00005F160000}"/>
    <cellStyle name="Normal 13 5 2 5" xfId="4039" xr:uid="{00000000-0005-0000-0000-000060160000}"/>
    <cellStyle name="Normal 13 5 2 5 2" xfId="9669" xr:uid="{00000000-0005-0000-0000-000061160000}"/>
    <cellStyle name="Normal 13 5 2 6" xfId="7011" xr:uid="{00000000-0005-0000-0000-000062160000}"/>
    <cellStyle name="Normal 13 5 3" xfId="1010" xr:uid="{00000000-0005-0000-0000-000063160000}"/>
    <cellStyle name="Normal 13 5 3 2" xfId="2121" xr:uid="{00000000-0005-0000-0000-000064160000}"/>
    <cellStyle name="Normal 13 5 3 2 2" xfId="5468" xr:uid="{00000000-0005-0000-0000-000065160000}"/>
    <cellStyle name="Normal 13 5 3 2 2 2" xfId="10782" xr:uid="{00000000-0005-0000-0000-000066160000}"/>
    <cellStyle name="Normal 13 5 3 2 3" xfId="8124" xr:uid="{00000000-0005-0000-0000-000067160000}"/>
    <cellStyle name="Normal 13 5 3 3" xfId="3042" xr:uid="{00000000-0005-0000-0000-000068160000}"/>
    <cellStyle name="Normal 13 5 3 3 2" xfId="6345" xr:uid="{00000000-0005-0000-0000-000069160000}"/>
    <cellStyle name="Normal 13 5 3 3 2 2" xfId="11659" xr:uid="{00000000-0005-0000-0000-00006A160000}"/>
    <cellStyle name="Normal 13 5 3 3 3" xfId="9001" xr:uid="{00000000-0005-0000-0000-00006B160000}"/>
    <cellStyle name="Normal 13 5 3 4" xfId="4402" xr:uid="{00000000-0005-0000-0000-00006C160000}"/>
    <cellStyle name="Normal 13 5 3 4 2" xfId="9905" xr:uid="{00000000-0005-0000-0000-00006D160000}"/>
    <cellStyle name="Normal 13 5 3 5" xfId="7247" xr:uid="{00000000-0005-0000-0000-00006E160000}"/>
    <cellStyle name="Normal 13 5 4" xfId="1683" xr:uid="{00000000-0005-0000-0000-00006F160000}"/>
    <cellStyle name="Normal 13 5 4 2" xfId="5032" xr:uid="{00000000-0005-0000-0000-000070160000}"/>
    <cellStyle name="Normal 13 5 4 2 2" xfId="10346" xr:uid="{00000000-0005-0000-0000-000071160000}"/>
    <cellStyle name="Normal 13 5 4 3" xfId="7688" xr:uid="{00000000-0005-0000-0000-000072160000}"/>
    <cellStyle name="Normal 13 5 5" xfId="2604" xr:uid="{00000000-0005-0000-0000-000073160000}"/>
    <cellStyle name="Normal 13 5 5 2" xfId="5909" xr:uid="{00000000-0005-0000-0000-000074160000}"/>
    <cellStyle name="Normal 13 5 5 2 2" xfId="11223" xr:uid="{00000000-0005-0000-0000-000075160000}"/>
    <cellStyle name="Normal 13 5 5 3" xfId="8565" xr:uid="{00000000-0005-0000-0000-000076160000}"/>
    <cellStyle name="Normal 13 5 6" xfId="3717" xr:uid="{00000000-0005-0000-0000-000077160000}"/>
    <cellStyle name="Normal 13 5 6 2" xfId="9469" xr:uid="{00000000-0005-0000-0000-000078160000}"/>
    <cellStyle name="Normal 13 5 7" xfId="6811" xr:uid="{00000000-0005-0000-0000-000079160000}"/>
    <cellStyle name="Normal 13 6" xfId="497" xr:uid="{00000000-0005-0000-0000-00007A160000}"/>
    <cellStyle name="Normal 13 6 2" xfId="1184" xr:uid="{00000000-0005-0000-0000-00007B160000}"/>
    <cellStyle name="Normal 13 6 2 2" xfId="2232" xr:uid="{00000000-0005-0000-0000-00007C160000}"/>
    <cellStyle name="Normal 13 6 2 2 2" xfId="5579" xr:uid="{00000000-0005-0000-0000-00007D160000}"/>
    <cellStyle name="Normal 13 6 2 2 2 2" xfId="10893" xr:uid="{00000000-0005-0000-0000-00007E160000}"/>
    <cellStyle name="Normal 13 6 2 2 3" xfId="8235" xr:uid="{00000000-0005-0000-0000-00007F160000}"/>
    <cellStyle name="Normal 13 6 2 3" xfId="3153" xr:uid="{00000000-0005-0000-0000-000080160000}"/>
    <cellStyle name="Normal 13 6 2 3 2" xfId="6456" xr:uid="{00000000-0005-0000-0000-000081160000}"/>
    <cellStyle name="Normal 13 6 2 3 2 2" xfId="11770" xr:uid="{00000000-0005-0000-0000-000082160000}"/>
    <cellStyle name="Normal 13 6 2 3 3" xfId="9112" xr:uid="{00000000-0005-0000-0000-000083160000}"/>
    <cellStyle name="Normal 13 6 2 4" xfId="4576" xr:uid="{00000000-0005-0000-0000-000084160000}"/>
    <cellStyle name="Normal 13 6 2 4 2" xfId="10016" xr:uid="{00000000-0005-0000-0000-000085160000}"/>
    <cellStyle name="Normal 13 6 2 5" xfId="7358" xr:uid="{00000000-0005-0000-0000-000086160000}"/>
    <cellStyle name="Normal 13 6 3" xfId="1794" xr:uid="{00000000-0005-0000-0000-000087160000}"/>
    <cellStyle name="Normal 13 6 3 2" xfId="5143" xr:uid="{00000000-0005-0000-0000-000088160000}"/>
    <cellStyle name="Normal 13 6 3 2 2" xfId="10457" xr:uid="{00000000-0005-0000-0000-000089160000}"/>
    <cellStyle name="Normal 13 6 3 3" xfId="7799" xr:uid="{00000000-0005-0000-0000-00008A160000}"/>
    <cellStyle name="Normal 13 6 4" xfId="2715" xr:uid="{00000000-0005-0000-0000-00008B160000}"/>
    <cellStyle name="Normal 13 6 4 2" xfId="6020" xr:uid="{00000000-0005-0000-0000-00008C160000}"/>
    <cellStyle name="Normal 13 6 4 2 2" xfId="11334" xr:uid="{00000000-0005-0000-0000-00008D160000}"/>
    <cellStyle name="Normal 13 6 4 3" xfId="8676" xr:uid="{00000000-0005-0000-0000-00008E160000}"/>
    <cellStyle name="Normal 13 6 5" xfId="3891" xr:uid="{00000000-0005-0000-0000-00008F160000}"/>
    <cellStyle name="Normal 13 6 5 2" xfId="9580" xr:uid="{00000000-0005-0000-0000-000090160000}"/>
    <cellStyle name="Normal 13 6 6" xfId="6922" xr:uid="{00000000-0005-0000-0000-000091160000}"/>
    <cellStyle name="Normal 13 7" xfId="862" xr:uid="{00000000-0005-0000-0000-000092160000}"/>
    <cellStyle name="Normal 13 7 2" xfId="2032" xr:uid="{00000000-0005-0000-0000-000093160000}"/>
    <cellStyle name="Normal 13 7 2 2" xfId="5379" xr:uid="{00000000-0005-0000-0000-000094160000}"/>
    <cellStyle name="Normal 13 7 2 2 2" xfId="10693" xr:uid="{00000000-0005-0000-0000-000095160000}"/>
    <cellStyle name="Normal 13 7 2 3" xfId="8035" xr:uid="{00000000-0005-0000-0000-000096160000}"/>
    <cellStyle name="Normal 13 7 3" xfId="2953" xr:uid="{00000000-0005-0000-0000-000097160000}"/>
    <cellStyle name="Normal 13 7 3 2" xfId="6256" xr:uid="{00000000-0005-0000-0000-000098160000}"/>
    <cellStyle name="Normal 13 7 3 2 2" xfId="11570" xr:uid="{00000000-0005-0000-0000-000099160000}"/>
    <cellStyle name="Normal 13 7 3 3" xfId="8912" xr:uid="{00000000-0005-0000-0000-00009A160000}"/>
    <cellStyle name="Normal 13 7 4" xfId="4254" xr:uid="{00000000-0005-0000-0000-00009B160000}"/>
    <cellStyle name="Normal 13 7 4 2" xfId="9816" xr:uid="{00000000-0005-0000-0000-00009C160000}"/>
    <cellStyle name="Normal 13 7 5" xfId="7158" xr:uid="{00000000-0005-0000-0000-00009D160000}"/>
    <cellStyle name="Normal 13 8" xfId="1587" xr:uid="{00000000-0005-0000-0000-00009E160000}"/>
    <cellStyle name="Normal 13 8 2" xfId="4943" xr:uid="{00000000-0005-0000-0000-00009F160000}"/>
    <cellStyle name="Normal 13 8 2 2" xfId="10257" xr:uid="{00000000-0005-0000-0000-0000A0160000}"/>
    <cellStyle name="Normal 13 8 3" xfId="7599" xr:uid="{00000000-0005-0000-0000-0000A1160000}"/>
    <cellStyle name="Normal 13 9" xfId="2509" xr:uid="{00000000-0005-0000-0000-0000A2160000}"/>
    <cellStyle name="Normal 13 9 2" xfId="5820" xr:uid="{00000000-0005-0000-0000-0000A3160000}"/>
    <cellStyle name="Normal 13 9 2 2" xfId="11134" xr:uid="{00000000-0005-0000-0000-0000A4160000}"/>
    <cellStyle name="Normal 13 9 3" xfId="8476" xr:uid="{00000000-0005-0000-0000-0000A5160000}"/>
    <cellStyle name="Normal 14" xfId="180" xr:uid="{00000000-0005-0000-0000-0000A6160000}"/>
    <cellStyle name="Normal 14 10" xfId="3628" xr:uid="{00000000-0005-0000-0000-0000A7160000}"/>
    <cellStyle name="Normal 14 10 2" xfId="9383" xr:uid="{00000000-0005-0000-0000-0000A8160000}"/>
    <cellStyle name="Normal 14 11" xfId="6720" xr:uid="{00000000-0005-0000-0000-0000A9160000}"/>
    <cellStyle name="Normal 14 2" xfId="182" xr:uid="{00000000-0005-0000-0000-0000AA160000}"/>
    <cellStyle name="Normal 14 2 2" xfId="215" xr:uid="{00000000-0005-0000-0000-0000AB160000}"/>
    <cellStyle name="Normal 14 2 2 2" xfId="410" xr:uid="{00000000-0005-0000-0000-0000AC160000}"/>
    <cellStyle name="Normal 14 2 2 2 2" xfId="733" xr:uid="{00000000-0005-0000-0000-0000AD160000}"/>
    <cellStyle name="Normal 14 2 2 2 2 2" xfId="1420" xr:uid="{00000000-0005-0000-0000-0000AE160000}"/>
    <cellStyle name="Normal 14 2 2 2 2 2 2" xfId="2352" xr:uid="{00000000-0005-0000-0000-0000AF160000}"/>
    <cellStyle name="Normal 14 2 2 2 2 2 2 2" xfId="5699" xr:uid="{00000000-0005-0000-0000-0000B0160000}"/>
    <cellStyle name="Normal 14 2 2 2 2 2 2 2 2" xfId="11013" xr:uid="{00000000-0005-0000-0000-0000B1160000}"/>
    <cellStyle name="Normal 14 2 2 2 2 2 2 3" xfId="8355" xr:uid="{00000000-0005-0000-0000-0000B2160000}"/>
    <cellStyle name="Normal 14 2 2 2 2 2 3" xfId="3273" xr:uid="{00000000-0005-0000-0000-0000B3160000}"/>
    <cellStyle name="Normal 14 2 2 2 2 2 3 2" xfId="6576" xr:uid="{00000000-0005-0000-0000-0000B4160000}"/>
    <cellStyle name="Normal 14 2 2 2 2 2 3 2 2" xfId="11890" xr:uid="{00000000-0005-0000-0000-0000B5160000}"/>
    <cellStyle name="Normal 14 2 2 2 2 2 3 3" xfId="9232" xr:uid="{00000000-0005-0000-0000-0000B6160000}"/>
    <cellStyle name="Normal 14 2 2 2 2 2 4" xfId="4812" xr:uid="{00000000-0005-0000-0000-0000B7160000}"/>
    <cellStyle name="Normal 14 2 2 2 2 2 4 2" xfId="10136" xr:uid="{00000000-0005-0000-0000-0000B8160000}"/>
    <cellStyle name="Normal 14 2 2 2 2 2 5" xfId="7478" xr:uid="{00000000-0005-0000-0000-0000B9160000}"/>
    <cellStyle name="Normal 14 2 2 2 2 3" xfId="1914" xr:uid="{00000000-0005-0000-0000-0000BA160000}"/>
    <cellStyle name="Normal 14 2 2 2 2 3 2" xfId="5263" xr:uid="{00000000-0005-0000-0000-0000BB160000}"/>
    <cellStyle name="Normal 14 2 2 2 2 3 2 2" xfId="10577" xr:uid="{00000000-0005-0000-0000-0000BC160000}"/>
    <cellStyle name="Normal 14 2 2 2 2 3 3" xfId="7919" xr:uid="{00000000-0005-0000-0000-0000BD160000}"/>
    <cellStyle name="Normal 14 2 2 2 2 4" xfId="2835" xr:uid="{00000000-0005-0000-0000-0000BE160000}"/>
    <cellStyle name="Normal 14 2 2 2 2 4 2" xfId="6140" xr:uid="{00000000-0005-0000-0000-0000BF160000}"/>
    <cellStyle name="Normal 14 2 2 2 2 4 2 2" xfId="11454" xr:uid="{00000000-0005-0000-0000-0000C0160000}"/>
    <cellStyle name="Normal 14 2 2 2 2 4 3" xfId="8796" xr:uid="{00000000-0005-0000-0000-0000C1160000}"/>
    <cellStyle name="Normal 14 2 2 2 2 5" xfId="4127" xr:uid="{00000000-0005-0000-0000-0000C2160000}"/>
    <cellStyle name="Normal 14 2 2 2 2 5 2" xfId="9700" xr:uid="{00000000-0005-0000-0000-0000C3160000}"/>
    <cellStyle name="Normal 14 2 2 2 2 6" xfId="7042" xr:uid="{00000000-0005-0000-0000-0000C4160000}"/>
    <cellStyle name="Normal 14 2 2 2 3" xfId="1098" xr:uid="{00000000-0005-0000-0000-0000C5160000}"/>
    <cellStyle name="Normal 14 2 2 2 3 2" xfId="2152" xr:uid="{00000000-0005-0000-0000-0000C6160000}"/>
    <cellStyle name="Normal 14 2 2 2 3 2 2" xfId="5499" xr:uid="{00000000-0005-0000-0000-0000C7160000}"/>
    <cellStyle name="Normal 14 2 2 2 3 2 2 2" xfId="10813" xr:uid="{00000000-0005-0000-0000-0000C8160000}"/>
    <cellStyle name="Normal 14 2 2 2 3 2 3" xfId="8155" xr:uid="{00000000-0005-0000-0000-0000C9160000}"/>
    <cellStyle name="Normal 14 2 2 2 3 3" xfId="3073" xr:uid="{00000000-0005-0000-0000-0000CA160000}"/>
    <cellStyle name="Normal 14 2 2 2 3 3 2" xfId="6376" xr:uid="{00000000-0005-0000-0000-0000CB160000}"/>
    <cellStyle name="Normal 14 2 2 2 3 3 2 2" xfId="11690" xr:uid="{00000000-0005-0000-0000-0000CC160000}"/>
    <cellStyle name="Normal 14 2 2 2 3 3 3" xfId="9032" xr:uid="{00000000-0005-0000-0000-0000CD160000}"/>
    <cellStyle name="Normal 14 2 2 2 3 4" xfId="4490" xr:uid="{00000000-0005-0000-0000-0000CE160000}"/>
    <cellStyle name="Normal 14 2 2 2 3 4 2" xfId="9936" xr:uid="{00000000-0005-0000-0000-0000CF160000}"/>
    <cellStyle name="Normal 14 2 2 2 3 5" xfId="7278" xr:uid="{00000000-0005-0000-0000-0000D0160000}"/>
    <cellStyle name="Normal 14 2 2 2 4" xfId="1714" xr:uid="{00000000-0005-0000-0000-0000D1160000}"/>
    <cellStyle name="Normal 14 2 2 2 4 2" xfId="5063" xr:uid="{00000000-0005-0000-0000-0000D2160000}"/>
    <cellStyle name="Normal 14 2 2 2 4 2 2" xfId="10377" xr:uid="{00000000-0005-0000-0000-0000D3160000}"/>
    <cellStyle name="Normal 14 2 2 2 4 3" xfId="7719" xr:uid="{00000000-0005-0000-0000-0000D4160000}"/>
    <cellStyle name="Normal 14 2 2 2 5" xfId="2635" xr:uid="{00000000-0005-0000-0000-0000D5160000}"/>
    <cellStyle name="Normal 14 2 2 2 5 2" xfId="5940" xr:uid="{00000000-0005-0000-0000-0000D6160000}"/>
    <cellStyle name="Normal 14 2 2 2 5 2 2" xfId="11254" xr:uid="{00000000-0005-0000-0000-0000D7160000}"/>
    <cellStyle name="Normal 14 2 2 2 5 3" xfId="8596" xr:uid="{00000000-0005-0000-0000-0000D8160000}"/>
    <cellStyle name="Normal 14 2 2 2 6" xfId="3805" xr:uid="{00000000-0005-0000-0000-0000D9160000}"/>
    <cellStyle name="Normal 14 2 2 2 6 2" xfId="9500" xr:uid="{00000000-0005-0000-0000-0000DA160000}"/>
    <cellStyle name="Normal 14 2 2 2 7" xfId="6842" xr:uid="{00000000-0005-0000-0000-0000DB160000}"/>
    <cellStyle name="Normal 14 2 2 3" xfId="584" xr:uid="{00000000-0005-0000-0000-0000DC160000}"/>
    <cellStyle name="Normal 14 2 2 3 2" xfId="1271" xr:uid="{00000000-0005-0000-0000-0000DD160000}"/>
    <cellStyle name="Normal 14 2 2 3 2 2" xfId="2263" xr:uid="{00000000-0005-0000-0000-0000DE160000}"/>
    <cellStyle name="Normal 14 2 2 3 2 2 2" xfId="5610" xr:uid="{00000000-0005-0000-0000-0000DF160000}"/>
    <cellStyle name="Normal 14 2 2 3 2 2 2 2" xfId="10924" xr:uid="{00000000-0005-0000-0000-0000E0160000}"/>
    <cellStyle name="Normal 14 2 2 3 2 2 3" xfId="8266" xr:uid="{00000000-0005-0000-0000-0000E1160000}"/>
    <cellStyle name="Normal 14 2 2 3 2 3" xfId="3184" xr:uid="{00000000-0005-0000-0000-0000E2160000}"/>
    <cellStyle name="Normal 14 2 2 3 2 3 2" xfId="6487" xr:uid="{00000000-0005-0000-0000-0000E3160000}"/>
    <cellStyle name="Normal 14 2 2 3 2 3 2 2" xfId="11801" xr:uid="{00000000-0005-0000-0000-0000E4160000}"/>
    <cellStyle name="Normal 14 2 2 3 2 3 3" xfId="9143" xr:uid="{00000000-0005-0000-0000-0000E5160000}"/>
    <cellStyle name="Normal 14 2 2 3 2 4" xfId="4663" xr:uid="{00000000-0005-0000-0000-0000E6160000}"/>
    <cellStyle name="Normal 14 2 2 3 2 4 2" xfId="10047" xr:uid="{00000000-0005-0000-0000-0000E7160000}"/>
    <cellStyle name="Normal 14 2 2 3 2 5" xfId="7389" xr:uid="{00000000-0005-0000-0000-0000E8160000}"/>
    <cellStyle name="Normal 14 2 2 3 3" xfId="1825" xr:uid="{00000000-0005-0000-0000-0000E9160000}"/>
    <cellStyle name="Normal 14 2 2 3 3 2" xfId="5174" xr:uid="{00000000-0005-0000-0000-0000EA160000}"/>
    <cellStyle name="Normal 14 2 2 3 3 2 2" xfId="10488" xr:uid="{00000000-0005-0000-0000-0000EB160000}"/>
    <cellStyle name="Normal 14 2 2 3 3 3" xfId="7830" xr:uid="{00000000-0005-0000-0000-0000EC160000}"/>
    <cellStyle name="Normal 14 2 2 3 4" xfId="2746" xr:uid="{00000000-0005-0000-0000-0000ED160000}"/>
    <cellStyle name="Normal 14 2 2 3 4 2" xfId="6051" xr:uid="{00000000-0005-0000-0000-0000EE160000}"/>
    <cellStyle name="Normal 14 2 2 3 4 2 2" xfId="11365" xr:uid="{00000000-0005-0000-0000-0000EF160000}"/>
    <cellStyle name="Normal 14 2 2 3 4 3" xfId="8707" xr:uid="{00000000-0005-0000-0000-0000F0160000}"/>
    <cellStyle name="Normal 14 2 2 3 5" xfId="3978" xr:uid="{00000000-0005-0000-0000-0000F1160000}"/>
    <cellStyle name="Normal 14 2 2 3 5 2" xfId="9611" xr:uid="{00000000-0005-0000-0000-0000F2160000}"/>
    <cellStyle name="Normal 14 2 2 3 6" xfId="6953" xr:uid="{00000000-0005-0000-0000-0000F3160000}"/>
    <cellStyle name="Normal 14 2 2 4" xfId="949" xr:uid="{00000000-0005-0000-0000-0000F4160000}"/>
    <cellStyle name="Normal 14 2 2 4 2" xfId="2063" xr:uid="{00000000-0005-0000-0000-0000F5160000}"/>
    <cellStyle name="Normal 14 2 2 4 2 2" xfId="5410" xr:uid="{00000000-0005-0000-0000-0000F6160000}"/>
    <cellStyle name="Normal 14 2 2 4 2 2 2" xfId="10724" xr:uid="{00000000-0005-0000-0000-0000F7160000}"/>
    <cellStyle name="Normal 14 2 2 4 2 3" xfId="8066" xr:uid="{00000000-0005-0000-0000-0000F8160000}"/>
    <cellStyle name="Normal 14 2 2 4 3" xfId="2984" xr:uid="{00000000-0005-0000-0000-0000F9160000}"/>
    <cellStyle name="Normal 14 2 2 4 3 2" xfId="6287" xr:uid="{00000000-0005-0000-0000-0000FA160000}"/>
    <cellStyle name="Normal 14 2 2 4 3 2 2" xfId="11601" xr:uid="{00000000-0005-0000-0000-0000FB160000}"/>
    <cellStyle name="Normal 14 2 2 4 3 3" xfId="8943" xr:uid="{00000000-0005-0000-0000-0000FC160000}"/>
    <cellStyle name="Normal 14 2 2 4 4" xfId="4341" xr:uid="{00000000-0005-0000-0000-0000FD160000}"/>
    <cellStyle name="Normal 14 2 2 4 4 2" xfId="9847" xr:uid="{00000000-0005-0000-0000-0000FE160000}"/>
    <cellStyle name="Normal 14 2 2 4 5" xfId="7189" xr:uid="{00000000-0005-0000-0000-0000FF160000}"/>
    <cellStyle name="Normal 14 2 2 5" xfId="1624" xr:uid="{00000000-0005-0000-0000-000000170000}"/>
    <cellStyle name="Normal 14 2 2 5 2" xfId="4974" xr:uid="{00000000-0005-0000-0000-000001170000}"/>
    <cellStyle name="Normal 14 2 2 5 2 2" xfId="10288" xr:uid="{00000000-0005-0000-0000-000002170000}"/>
    <cellStyle name="Normal 14 2 2 5 3" xfId="7630" xr:uid="{00000000-0005-0000-0000-000003170000}"/>
    <cellStyle name="Normal 14 2 2 6" xfId="2545" xr:uid="{00000000-0005-0000-0000-000004170000}"/>
    <cellStyle name="Normal 14 2 2 6 2" xfId="5851" xr:uid="{00000000-0005-0000-0000-000005170000}"/>
    <cellStyle name="Normal 14 2 2 6 2 2" xfId="11165" xr:uid="{00000000-0005-0000-0000-000006170000}"/>
    <cellStyle name="Normal 14 2 2 6 3" xfId="8507" xr:uid="{00000000-0005-0000-0000-000007170000}"/>
    <cellStyle name="Normal 14 2 2 7" xfId="3656" xr:uid="{00000000-0005-0000-0000-000008170000}"/>
    <cellStyle name="Normal 14 2 2 7 2" xfId="9411" xr:uid="{00000000-0005-0000-0000-000009170000}"/>
    <cellStyle name="Normal 14 2 2 8" xfId="6748" xr:uid="{00000000-0005-0000-0000-00000A170000}"/>
    <cellStyle name="Normal 14 2 3" xfId="383" xr:uid="{00000000-0005-0000-0000-00000B170000}"/>
    <cellStyle name="Normal 14 2 3 2" xfId="706" xr:uid="{00000000-0005-0000-0000-00000C170000}"/>
    <cellStyle name="Normal 14 2 3 2 2" xfId="1393" xr:uid="{00000000-0005-0000-0000-00000D170000}"/>
    <cellStyle name="Normal 14 2 3 2 2 2" xfId="2326" xr:uid="{00000000-0005-0000-0000-00000E170000}"/>
    <cellStyle name="Normal 14 2 3 2 2 2 2" xfId="5673" xr:uid="{00000000-0005-0000-0000-00000F170000}"/>
    <cellStyle name="Normal 14 2 3 2 2 2 2 2" xfId="10987" xr:uid="{00000000-0005-0000-0000-000010170000}"/>
    <cellStyle name="Normal 14 2 3 2 2 2 3" xfId="8329" xr:uid="{00000000-0005-0000-0000-000011170000}"/>
    <cellStyle name="Normal 14 2 3 2 2 3" xfId="3247" xr:uid="{00000000-0005-0000-0000-000012170000}"/>
    <cellStyle name="Normal 14 2 3 2 2 3 2" xfId="6550" xr:uid="{00000000-0005-0000-0000-000013170000}"/>
    <cellStyle name="Normal 14 2 3 2 2 3 2 2" xfId="11864" xr:uid="{00000000-0005-0000-0000-000014170000}"/>
    <cellStyle name="Normal 14 2 3 2 2 3 3" xfId="9206" xr:uid="{00000000-0005-0000-0000-000015170000}"/>
    <cellStyle name="Normal 14 2 3 2 2 4" xfId="4785" xr:uid="{00000000-0005-0000-0000-000016170000}"/>
    <cellStyle name="Normal 14 2 3 2 2 4 2" xfId="10110" xr:uid="{00000000-0005-0000-0000-000017170000}"/>
    <cellStyle name="Normal 14 2 3 2 2 5" xfId="7452" xr:uid="{00000000-0005-0000-0000-000018170000}"/>
    <cellStyle name="Normal 14 2 3 2 3" xfId="1888" xr:uid="{00000000-0005-0000-0000-000019170000}"/>
    <cellStyle name="Normal 14 2 3 2 3 2" xfId="5237" xr:uid="{00000000-0005-0000-0000-00001A170000}"/>
    <cellStyle name="Normal 14 2 3 2 3 2 2" xfId="10551" xr:uid="{00000000-0005-0000-0000-00001B170000}"/>
    <cellStyle name="Normal 14 2 3 2 3 3" xfId="7893" xr:uid="{00000000-0005-0000-0000-00001C170000}"/>
    <cellStyle name="Normal 14 2 3 2 4" xfId="2809" xr:uid="{00000000-0005-0000-0000-00001D170000}"/>
    <cellStyle name="Normal 14 2 3 2 4 2" xfId="6114" xr:uid="{00000000-0005-0000-0000-00001E170000}"/>
    <cellStyle name="Normal 14 2 3 2 4 2 2" xfId="11428" xr:uid="{00000000-0005-0000-0000-00001F170000}"/>
    <cellStyle name="Normal 14 2 3 2 4 3" xfId="8770" xr:uid="{00000000-0005-0000-0000-000020170000}"/>
    <cellStyle name="Normal 14 2 3 2 5" xfId="4100" xr:uid="{00000000-0005-0000-0000-000021170000}"/>
    <cellStyle name="Normal 14 2 3 2 5 2" xfId="9674" xr:uid="{00000000-0005-0000-0000-000022170000}"/>
    <cellStyle name="Normal 14 2 3 2 6" xfId="7016" xr:uid="{00000000-0005-0000-0000-000023170000}"/>
    <cellStyle name="Normal 14 2 3 3" xfId="1071" xr:uid="{00000000-0005-0000-0000-000024170000}"/>
    <cellStyle name="Normal 14 2 3 3 2" xfId="2126" xr:uid="{00000000-0005-0000-0000-000025170000}"/>
    <cellStyle name="Normal 14 2 3 3 2 2" xfId="5473" xr:uid="{00000000-0005-0000-0000-000026170000}"/>
    <cellStyle name="Normal 14 2 3 3 2 2 2" xfId="10787" xr:uid="{00000000-0005-0000-0000-000027170000}"/>
    <cellStyle name="Normal 14 2 3 3 2 3" xfId="8129" xr:uid="{00000000-0005-0000-0000-000028170000}"/>
    <cellStyle name="Normal 14 2 3 3 3" xfId="3047" xr:uid="{00000000-0005-0000-0000-000029170000}"/>
    <cellStyle name="Normal 14 2 3 3 3 2" xfId="6350" xr:uid="{00000000-0005-0000-0000-00002A170000}"/>
    <cellStyle name="Normal 14 2 3 3 3 2 2" xfId="11664" xr:uid="{00000000-0005-0000-0000-00002B170000}"/>
    <cellStyle name="Normal 14 2 3 3 3 3" xfId="9006" xr:uid="{00000000-0005-0000-0000-00002C170000}"/>
    <cellStyle name="Normal 14 2 3 3 4" xfId="4463" xr:uid="{00000000-0005-0000-0000-00002D170000}"/>
    <cellStyle name="Normal 14 2 3 3 4 2" xfId="9910" xr:uid="{00000000-0005-0000-0000-00002E170000}"/>
    <cellStyle name="Normal 14 2 3 3 5" xfId="7252" xr:uid="{00000000-0005-0000-0000-00002F170000}"/>
    <cellStyle name="Normal 14 2 3 4" xfId="1688" xr:uid="{00000000-0005-0000-0000-000030170000}"/>
    <cellStyle name="Normal 14 2 3 4 2" xfId="5037" xr:uid="{00000000-0005-0000-0000-000031170000}"/>
    <cellStyle name="Normal 14 2 3 4 2 2" xfId="10351" xr:uid="{00000000-0005-0000-0000-000032170000}"/>
    <cellStyle name="Normal 14 2 3 4 3" xfId="7693" xr:uid="{00000000-0005-0000-0000-000033170000}"/>
    <cellStyle name="Normal 14 2 3 5" xfId="2609" xr:uid="{00000000-0005-0000-0000-000034170000}"/>
    <cellStyle name="Normal 14 2 3 5 2" xfId="5914" xr:uid="{00000000-0005-0000-0000-000035170000}"/>
    <cellStyle name="Normal 14 2 3 5 2 2" xfId="11228" xr:uid="{00000000-0005-0000-0000-000036170000}"/>
    <cellStyle name="Normal 14 2 3 5 3" xfId="8570" xr:uid="{00000000-0005-0000-0000-000037170000}"/>
    <cellStyle name="Normal 14 2 3 6" xfId="3778" xr:uid="{00000000-0005-0000-0000-000038170000}"/>
    <cellStyle name="Normal 14 2 3 6 2" xfId="9474" xr:uid="{00000000-0005-0000-0000-000039170000}"/>
    <cellStyle name="Normal 14 2 3 7" xfId="6816" xr:uid="{00000000-0005-0000-0000-00003A170000}"/>
    <cellStyle name="Normal 14 2 4" xfId="558" xr:uid="{00000000-0005-0000-0000-00003B170000}"/>
    <cellStyle name="Normal 14 2 4 2" xfId="1245" xr:uid="{00000000-0005-0000-0000-00003C170000}"/>
    <cellStyle name="Normal 14 2 4 2 2" xfId="2237" xr:uid="{00000000-0005-0000-0000-00003D170000}"/>
    <cellStyle name="Normal 14 2 4 2 2 2" xfId="5584" xr:uid="{00000000-0005-0000-0000-00003E170000}"/>
    <cellStyle name="Normal 14 2 4 2 2 2 2" xfId="10898" xr:uid="{00000000-0005-0000-0000-00003F170000}"/>
    <cellStyle name="Normal 14 2 4 2 2 3" xfId="8240" xr:uid="{00000000-0005-0000-0000-000040170000}"/>
    <cellStyle name="Normal 14 2 4 2 3" xfId="3158" xr:uid="{00000000-0005-0000-0000-000041170000}"/>
    <cellStyle name="Normal 14 2 4 2 3 2" xfId="6461" xr:uid="{00000000-0005-0000-0000-000042170000}"/>
    <cellStyle name="Normal 14 2 4 2 3 2 2" xfId="11775" xr:uid="{00000000-0005-0000-0000-000043170000}"/>
    <cellStyle name="Normal 14 2 4 2 3 3" xfId="9117" xr:uid="{00000000-0005-0000-0000-000044170000}"/>
    <cellStyle name="Normal 14 2 4 2 4" xfId="4637" xr:uid="{00000000-0005-0000-0000-000045170000}"/>
    <cellStyle name="Normal 14 2 4 2 4 2" xfId="10021" xr:uid="{00000000-0005-0000-0000-000046170000}"/>
    <cellStyle name="Normal 14 2 4 2 5" xfId="7363" xr:uid="{00000000-0005-0000-0000-000047170000}"/>
    <cellStyle name="Normal 14 2 4 3" xfId="1799" xr:uid="{00000000-0005-0000-0000-000048170000}"/>
    <cellStyle name="Normal 14 2 4 3 2" xfId="5148" xr:uid="{00000000-0005-0000-0000-000049170000}"/>
    <cellStyle name="Normal 14 2 4 3 2 2" xfId="10462" xr:uid="{00000000-0005-0000-0000-00004A170000}"/>
    <cellStyle name="Normal 14 2 4 3 3" xfId="7804" xr:uid="{00000000-0005-0000-0000-00004B170000}"/>
    <cellStyle name="Normal 14 2 4 4" xfId="2720" xr:uid="{00000000-0005-0000-0000-00004C170000}"/>
    <cellStyle name="Normal 14 2 4 4 2" xfId="6025" xr:uid="{00000000-0005-0000-0000-00004D170000}"/>
    <cellStyle name="Normal 14 2 4 4 2 2" xfId="11339" xr:uid="{00000000-0005-0000-0000-00004E170000}"/>
    <cellStyle name="Normal 14 2 4 4 3" xfId="8681" xr:uid="{00000000-0005-0000-0000-00004F170000}"/>
    <cellStyle name="Normal 14 2 4 5" xfId="3952" xr:uid="{00000000-0005-0000-0000-000050170000}"/>
    <cellStyle name="Normal 14 2 4 5 2" xfId="9585" xr:uid="{00000000-0005-0000-0000-000051170000}"/>
    <cellStyle name="Normal 14 2 4 6" xfId="6927" xr:uid="{00000000-0005-0000-0000-000052170000}"/>
    <cellStyle name="Normal 14 2 5" xfId="923" xr:uid="{00000000-0005-0000-0000-000053170000}"/>
    <cellStyle name="Normal 14 2 5 2" xfId="2037" xr:uid="{00000000-0005-0000-0000-000054170000}"/>
    <cellStyle name="Normal 14 2 5 2 2" xfId="5384" xr:uid="{00000000-0005-0000-0000-000055170000}"/>
    <cellStyle name="Normal 14 2 5 2 2 2" xfId="10698" xr:uid="{00000000-0005-0000-0000-000056170000}"/>
    <cellStyle name="Normal 14 2 5 2 3" xfId="8040" xr:uid="{00000000-0005-0000-0000-000057170000}"/>
    <cellStyle name="Normal 14 2 5 3" xfId="2958" xr:uid="{00000000-0005-0000-0000-000058170000}"/>
    <cellStyle name="Normal 14 2 5 3 2" xfId="6261" xr:uid="{00000000-0005-0000-0000-000059170000}"/>
    <cellStyle name="Normal 14 2 5 3 2 2" xfId="11575" xr:uid="{00000000-0005-0000-0000-00005A170000}"/>
    <cellStyle name="Normal 14 2 5 3 3" xfId="8917" xr:uid="{00000000-0005-0000-0000-00005B170000}"/>
    <cellStyle name="Normal 14 2 5 4" xfId="4315" xr:uid="{00000000-0005-0000-0000-00005C170000}"/>
    <cellStyle name="Normal 14 2 5 4 2" xfId="9821" xr:uid="{00000000-0005-0000-0000-00005D170000}"/>
    <cellStyle name="Normal 14 2 5 5" xfId="7163" xr:uid="{00000000-0005-0000-0000-00005E170000}"/>
    <cellStyle name="Normal 14 2 6" xfId="1592" xr:uid="{00000000-0005-0000-0000-00005F170000}"/>
    <cellStyle name="Normal 14 2 6 2" xfId="4948" xr:uid="{00000000-0005-0000-0000-000060170000}"/>
    <cellStyle name="Normal 14 2 6 2 2" xfId="10262" xr:uid="{00000000-0005-0000-0000-000061170000}"/>
    <cellStyle name="Normal 14 2 6 3" xfId="7604" xr:uid="{00000000-0005-0000-0000-000062170000}"/>
    <cellStyle name="Normal 14 2 7" xfId="2514" xr:uid="{00000000-0005-0000-0000-000063170000}"/>
    <cellStyle name="Normal 14 2 7 2" xfId="5825" xr:uid="{00000000-0005-0000-0000-000064170000}"/>
    <cellStyle name="Normal 14 2 7 2 2" xfId="11139" xr:uid="{00000000-0005-0000-0000-000065170000}"/>
    <cellStyle name="Normal 14 2 7 3" xfId="8481" xr:uid="{00000000-0005-0000-0000-000066170000}"/>
    <cellStyle name="Normal 14 2 8" xfId="3630" xr:uid="{00000000-0005-0000-0000-000067170000}"/>
    <cellStyle name="Normal 14 2 8 2" xfId="9385" xr:uid="{00000000-0005-0000-0000-000068170000}"/>
    <cellStyle name="Normal 14 2 9" xfId="6722" xr:uid="{00000000-0005-0000-0000-000069170000}"/>
    <cellStyle name="Normal 14 3" xfId="211" xr:uid="{00000000-0005-0000-0000-00006A170000}"/>
    <cellStyle name="Normal 14 3 2" xfId="406" xr:uid="{00000000-0005-0000-0000-00006B170000}"/>
    <cellStyle name="Normal 14 3 2 2" xfId="729" xr:uid="{00000000-0005-0000-0000-00006C170000}"/>
    <cellStyle name="Normal 14 3 2 2 2" xfId="1416" xr:uid="{00000000-0005-0000-0000-00006D170000}"/>
    <cellStyle name="Normal 14 3 2 2 2 2" xfId="2348" xr:uid="{00000000-0005-0000-0000-00006E170000}"/>
    <cellStyle name="Normal 14 3 2 2 2 2 2" xfId="5695" xr:uid="{00000000-0005-0000-0000-00006F170000}"/>
    <cellStyle name="Normal 14 3 2 2 2 2 2 2" xfId="11009" xr:uid="{00000000-0005-0000-0000-000070170000}"/>
    <cellStyle name="Normal 14 3 2 2 2 2 3" xfId="8351" xr:uid="{00000000-0005-0000-0000-000071170000}"/>
    <cellStyle name="Normal 14 3 2 2 2 3" xfId="3269" xr:uid="{00000000-0005-0000-0000-000072170000}"/>
    <cellStyle name="Normal 14 3 2 2 2 3 2" xfId="6572" xr:uid="{00000000-0005-0000-0000-000073170000}"/>
    <cellStyle name="Normal 14 3 2 2 2 3 2 2" xfId="11886" xr:uid="{00000000-0005-0000-0000-000074170000}"/>
    <cellStyle name="Normal 14 3 2 2 2 3 3" xfId="9228" xr:uid="{00000000-0005-0000-0000-000075170000}"/>
    <cellStyle name="Normal 14 3 2 2 2 4" xfId="4808" xr:uid="{00000000-0005-0000-0000-000076170000}"/>
    <cellStyle name="Normal 14 3 2 2 2 4 2" xfId="10132" xr:uid="{00000000-0005-0000-0000-000077170000}"/>
    <cellStyle name="Normal 14 3 2 2 2 5" xfId="7474" xr:uid="{00000000-0005-0000-0000-000078170000}"/>
    <cellStyle name="Normal 14 3 2 2 3" xfId="1910" xr:uid="{00000000-0005-0000-0000-000079170000}"/>
    <cellStyle name="Normal 14 3 2 2 3 2" xfId="5259" xr:uid="{00000000-0005-0000-0000-00007A170000}"/>
    <cellStyle name="Normal 14 3 2 2 3 2 2" xfId="10573" xr:uid="{00000000-0005-0000-0000-00007B170000}"/>
    <cellStyle name="Normal 14 3 2 2 3 3" xfId="7915" xr:uid="{00000000-0005-0000-0000-00007C170000}"/>
    <cellStyle name="Normal 14 3 2 2 4" xfId="2831" xr:uid="{00000000-0005-0000-0000-00007D170000}"/>
    <cellStyle name="Normal 14 3 2 2 4 2" xfId="6136" xr:uid="{00000000-0005-0000-0000-00007E170000}"/>
    <cellStyle name="Normal 14 3 2 2 4 2 2" xfId="11450" xr:uid="{00000000-0005-0000-0000-00007F170000}"/>
    <cellStyle name="Normal 14 3 2 2 4 3" xfId="8792" xr:uid="{00000000-0005-0000-0000-000080170000}"/>
    <cellStyle name="Normal 14 3 2 2 5" xfId="4123" xr:uid="{00000000-0005-0000-0000-000081170000}"/>
    <cellStyle name="Normal 14 3 2 2 5 2" xfId="9696" xr:uid="{00000000-0005-0000-0000-000082170000}"/>
    <cellStyle name="Normal 14 3 2 2 6" xfId="7038" xr:uid="{00000000-0005-0000-0000-000083170000}"/>
    <cellStyle name="Normal 14 3 2 3" xfId="1094" xr:uid="{00000000-0005-0000-0000-000084170000}"/>
    <cellStyle name="Normal 14 3 2 3 2" xfId="2148" xr:uid="{00000000-0005-0000-0000-000085170000}"/>
    <cellStyle name="Normal 14 3 2 3 2 2" xfId="5495" xr:uid="{00000000-0005-0000-0000-000086170000}"/>
    <cellStyle name="Normal 14 3 2 3 2 2 2" xfId="10809" xr:uid="{00000000-0005-0000-0000-000087170000}"/>
    <cellStyle name="Normal 14 3 2 3 2 3" xfId="8151" xr:uid="{00000000-0005-0000-0000-000088170000}"/>
    <cellStyle name="Normal 14 3 2 3 3" xfId="3069" xr:uid="{00000000-0005-0000-0000-000089170000}"/>
    <cellStyle name="Normal 14 3 2 3 3 2" xfId="6372" xr:uid="{00000000-0005-0000-0000-00008A170000}"/>
    <cellStyle name="Normal 14 3 2 3 3 2 2" xfId="11686" xr:uid="{00000000-0005-0000-0000-00008B170000}"/>
    <cellStyle name="Normal 14 3 2 3 3 3" xfId="9028" xr:uid="{00000000-0005-0000-0000-00008C170000}"/>
    <cellStyle name="Normal 14 3 2 3 4" xfId="4486" xr:uid="{00000000-0005-0000-0000-00008D170000}"/>
    <cellStyle name="Normal 14 3 2 3 4 2" xfId="9932" xr:uid="{00000000-0005-0000-0000-00008E170000}"/>
    <cellStyle name="Normal 14 3 2 3 5" xfId="7274" xr:uid="{00000000-0005-0000-0000-00008F170000}"/>
    <cellStyle name="Normal 14 3 2 4" xfId="1710" xr:uid="{00000000-0005-0000-0000-000090170000}"/>
    <cellStyle name="Normal 14 3 2 4 2" xfId="5059" xr:uid="{00000000-0005-0000-0000-000091170000}"/>
    <cellStyle name="Normal 14 3 2 4 2 2" xfId="10373" xr:uid="{00000000-0005-0000-0000-000092170000}"/>
    <cellStyle name="Normal 14 3 2 4 3" xfId="7715" xr:uid="{00000000-0005-0000-0000-000093170000}"/>
    <cellStyle name="Normal 14 3 2 5" xfId="2631" xr:uid="{00000000-0005-0000-0000-000094170000}"/>
    <cellStyle name="Normal 14 3 2 5 2" xfId="5936" xr:uid="{00000000-0005-0000-0000-000095170000}"/>
    <cellStyle name="Normal 14 3 2 5 2 2" xfId="11250" xr:uid="{00000000-0005-0000-0000-000096170000}"/>
    <cellStyle name="Normal 14 3 2 5 3" xfId="8592" xr:uid="{00000000-0005-0000-0000-000097170000}"/>
    <cellStyle name="Normal 14 3 2 6" xfId="3801" xr:uid="{00000000-0005-0000-0000-000098170000}"/>
    <cellStyle name="Normal 14 3 2 6 2" xfId="9496" xr:uid="{00000000-0005-0000-0000-000099170000}"/>
    <cellStyle name="Normal 14 3 2 7" xfId="6838" xr:uid="{00000000-0005-0000-0000-00009A170000}"/>
    <cellStyle name="Normal 14 3 3" xfId="580" xr:uid="{00000000-0005-0000-0000-00009B170000}"/>
    <cellStyle name="Normal 14 3 3 2" xfId="1267" xr:uid="{00000000-0005-0000-0000-00009C170000}"/>
    <cellStyle name="Normal 14 3 3 2 2" xfId="2259" xr:uid="{00000000-0005-0000-0000-00009D170000}"/>
    <cellStyle name="Normal 14 3 3 2 2 2" xfId="5606" xr:uid="{00000000-0005-0000-0000-00009E170000}"/>
    <cellStyle name="Normal 14 3 3 2 2 2 2" xfId="10920" xr:uid="{00000000-0005-0000-0000-00009F170000}"/>
    <cellStyle name="Normal 14 3 3 2 2 3" xfId="8262" xr:uid="{00000000-0005-0000-0000-0000A0170000}"/>
    <cellStyle name="Normal 14 3 3 2 3" xfId="3180" xr:uid="{00000000-0005-0000-0000-0000A1170000}"/>
    <cellStyle name="Normal 14 3 3 2 3 2" xfId="6483" xr:uid="{00000000-0005-0000-0000-0000A2170000}"/>
    <cellStyle name="Normal 14 3 3 2 3 2 2" xfId="11797" xr:uid="{00000000-0005-0000-0000-0000A3170000}"/>
    <cellStyle name="Normal 14 3 3 2 3 3" xfId="9139" xr:uid="{00000000-0005-0000-0000-0000A4170000}"/>
    <cellStyle name="Normal 14 3 3 2 4" xfId="4659" xr:uid="{00000000-0005-0000-0000-0000A5170000}"/>
    <cellStyle name="Normal 14 3 3 2 4 2" xfId="10043" xr:uid="{00000000-0005-0000-0000-0000A6170000}"/>
    <cellStyle name="Normal 14 3 3 2 5" xfId="7385" xr:uid="{00000000-0005-0000-0000-0000A7170000}"/>
    <cellStyle name="Normal 14 3 3 3" xfId="1821" xr:uid="{00000000-0005-0000-0000-0000A8170000}"/>
    <cellStyle name="Normal 14 3 3 3 2" xfId="5170" xr:uid="{00000000-0005-0000-0000-0000A9170000}"/>
    <cellStyle name="Normal 14 3 3 3 2 2" xfId="10484" xr:uid="{00000000-0005-0000-0000-0000AA170000}"/>
    <cellStyle name="Normal 14 3 3 3 3" xfId="7826" xr:uid="{00000000-0005-0000-0000-0000AB170000}"/>
    <cellStyle name="Normal 14 3 3 4" xfId="2742" xr:uid="{00000000-0005-0000-0000-0000AC170000}"/>
    <cellStyle name="Normal 14 3 3 4 2" xfId="6047" xr:uid="{00000000-0005-0000-0000-0000AD170000}"/>
    <cellStyle name="Normal 14 3 3 4 2 2" xfId="11361" xr:uid="{00000000-0005-0000-0000-0000AE170000}"/>
    <cellStyle name="Normal 14 3 3 4 3" xfId="8703" xr:uid="{00000000-0005-0000-0000-0000AF170000}"/>
    <cellStyle name="Normal 14 3 3 5" xfId="3974" xr:uid="{00000000-0005-0000-0000-0000B0170000}"/>
    <cellStyle name="Normal 14 3 3 5 2" xfId="9607" xr:uid="{00000000-0005-0000-0000-0000B1170000}"/>
    <cellStyle name="Normal 14 3 3 6" xfId="6949" xr:uid="{00000000-0005-0000-0000-0000B2170000}"/>
    <cellStyle name="Normal 14 3 4" xfId="945" xr:uid="{00000000-0005-0000-0000-0000B3170000}"/>
    <cellStyle name="Normal 14 3 4 2" xfId="2059" xr:uid="{00000000-0005-0000-0000-0000B4170000}"/>
    <cellStyle name="Normal 14 3 4 2 2" xfId="5406" xr:uid="{00000000-0005-0000-0000-0000B5170000}"/>
    <cellStyle name="Normal 14 3 4 2 2 2" xfId="10720" xr:uid="{00000000-0005-0000-0000-0000B6170000}"/>
    <cellStyle name="Normal 14 3 4 2 3" xfId="8062" xr:uid="{00000000-0005-0000-0000-0000B7170000}"/>
    <cellStyle name="Normal 14 3 4 3" xfId="2980" xr:uid="{00000000-0005-0000-0000-0000B8170000}"/>
    <cellStyle name="Normal 14 3 4 3 2" xfId="6283" xr:uid="{00000000-0005-0000-0000-0000B9170000}"/>
    <cellStyle name="Normal 14 3 4 3 2 2" xfId="11597" xr:uid="{00000000-0005-0000-0000-0000BA170000}"/>
    <cellStyle name="Normal 14 3 4 3 3" xfId="8939" xr:uid="{00000000-0005-0000-0000-0000BB170000}"/>
    <cellStyle name="Normal 14 3 4 4" xfId="4337" xr:uid="{00000000-0005-0000-0000-0000BC170000}"/>
    <cellStyle name="Normal 14 3 4 4 2" xfId="9843" xr:uid="{00000000-0005-0000-0000-0000BD170000}"/>
    <cellStyle name="Normal 14 3 4 5" xfId="7185" xr:uid="{00000000-0005-0000-0000-0000BE170000}"/>
    <cellStyle name="Normal 14 3 5" xfId="1620" xr:uid="{00000000-0005-0000-0000-0000BF170000}"/>
    <cellStyle name="Normal 14 3 5 2" xfId="4970" xr:uid="{00000000-0005-0000-0000-0000C0170000}"/>
    <cellStyle name="Normal 14 3 5 2 2" xfId="10284" xr:uid="{00000000-0005-0000-0000-0000C1170000}"/>
    <cellStyle name="Normal 14 3 5 3" xfId="7626" xr:uid="{00000000-0005-0000-0000-0000C2170000}"/>
    <cellStyle name="Normal 14 3 6" xfId="2541" xr:uid="{00000000-0005-0000-0000-0000C3170000}"/>
    <cellStyle name="Normal 14 3 6 2" xfId="5847" xr:uid="{00000000-0005-0000-0000-0000C4170000}"/>
    <cellStyle name="Normal 14 3 6 2 2" xfId="11161" xr:uid="{00000000-0005-0000-0000-0000C5170000}"/>
    <cellStyle name="Normal 14 3 6 3" xfId="8503" xr:uid="{00000000-0005-0000-0000-0000C6170000}"/>
    <cellStyle name="Normal 14 3 7" xfId="3652" xr:uid="{00000000-0005-0000-0000-0000C7170000}"/>
    <cellStyle name="Normal 14 3 7 2" xfId="9407" xr:uid="{00000000-0005-0000-0000-0000C8170000}"/>
    <cellStyle name="Normal 14 3 8" xfId="6744" xr:uid="{00000000-0005-0000-0000-0000C9170000}"/>
    <cellStyle name="Normal 14 4" xfId="381" xr:uid="{00000000-0005-0000-0000-0000CA170000}"/>
    <cellStyle name="Normal 14 4 2" xfId="704" xr:uid="{00000000-0005-0000-0000-0000CB170000}"/>
    <cellStyle name="Normal 14 4 2 2" xfId="1391" xr:uid="{00000000-0005-0000-0000-0000CC170000}"/>
    <cellStyle name="Normal 14 4 2 2 2" xfId="2324" xr:uid="{00000000-0005-0000-0000-0000CD170000}"/>
    <cellStyle name="Normal 14 4 2 2 2 2" xfId="5671" xr:uid="{00000000-0005-0000-0000-0000CE170000}"/>
    <cellStyle name="Normal 14 4 2 2 2 2 2" xfId="10985" xr:uid="{00000000-0005-0000-0000-0000CF170000}"/>
    <cellStyle name="Normal 14 4 2 2 2 3" xfId="8327" xr:uid="{00000000-0005-0000-0000-0000D0170000}"/>
    <cellStyle name="Normal 14 4 2 2 3" xfId="3245" xr:uid="{00000000-0005-0000-0000-0000D1170000}"/>
    <cellStyle name="Normal 14 4 2 2 3 2" xfId="6548" xr:uid="{00000000-0005-0000-0000-0000D2170000}"/>
    <cellStyle name="Normal 14 4 2 2 3 2 2" xfId="11862" xr:uid="{00000000-0005-0000-0000-0000D3170000}"/>
    <cellStyle name="Normal 14 4 2 2 3 3" xfId="9204" xr:uid="{00000000-0005-0000-0000-0000D4170000}"/>
    <cellStyle name="Normal 14 4 2 2 4" xfId="4783" xr:uid="{00000000-0005-0000-0000-0000D5170000}"/>
    <cellStyle name="Normal 14 4 2 2 4 2" xfId="10108" xr:uid="{00000000-0005-0000-0000-0000D6170000}"/>
    <cellStyle name="Normal 14 4 2 2 5" xfId="7450" xr:uid="{00000000-0005-0000-0000-0000D7170000}"/>
    <cellStyle name="Normal 14 4 2 3" xfId="1886" xr:uid="{00000000-0005-0000-0000-0000D8170000}"/>
    <cellStyle name="Normal 14 4 2 3 2" xfId="5235" xr:uid="{00000000-0005-0000-0000-0000D9170000}"/>
    <cellStyle name="Normal 14 4 2 3 2 2" xfId="10549" xr:uid="{00000000-0005-0000-0000-0000DA170000}"/>
    <cellStyle name="Normal 14 4 2 3 3" xfId="7891" xr:uid="{00000000-0005-0000-0000-0000DB170000}"/>
    <cellStyle name="Normal 14 4 2 4" xfId="2807" xr:uid="{00000000-0005-0000-0000-0000DC170000}"/>
    <cellStyle name="Normal 14 4 2 4 2" xfId="6112" xr:uid="{00000000-0005-0000-0000-0000DD170000}"/>
    <cellStyle name="Normal 14 4 2 4 2 2" xfId="11426" xr:uid="{00000000-0005-0000-0000-0000DE170000}"/>
    <cellStyle name="Normal 14 4 2 4 3" xfId="8768" xr:uid="{00000000-0005-0000-0000-0000DF170000}"/>
    <cellStyle name="Normal 14 4 2 5" xfId="4098" xr:uid="{00000000-0005-0000-0000-0000E0170000}"/>
    <cellStyle name="Normal 14 4 2 5 2" xfId="9672" xr:uid="{00000000-0005-0000-0000-0000E1170000}"/>
    <cellStyle name="Normal 14 4 2 6" xfId="7014" xr:uid="{00000000-0005-0000-0000-0000E2170000}"/>
    <cellStyle name="Normal 14 4 3" xfId="1069" xr:uid="{00000000-0005-0000-0000-0000E3170000}"/>
    <cellStyle name="Normal 14 4 3 2" xfId="2124" xr:uid="{00000000-0005-0000-0000-0000E4170000}"/>
    <cellStyle name="Normal 14 4 3 2 2" xfId="5471" xr:uid="{00000000-0005-0000-0000-0000E5170000}"/>
    <cellStyle name="Normal 14 4 3 2 2 2" xfId="10785" xr:uid="{00000000-0005-0000-0000-0000E6170000}"/>
    <cellStyle name="Normal 14 4 3 2 3" xfId="8127" xr:uid="{00000000-0005-0000-0000-0000E7170000}"/>
    <cellStyle name="Normal 14 4 3 3" xfId="3045" xr:uid="{00000000-0005-0000-0000-0000E8170000}"/>
    <cellStyle name="Normal 14 4 3 3 2" xfId="6348" xr:uid="{00000000-0005-0000-0000-0000E9170000}"/>
    <cellStyle name="Normal 14 4 3 3 2 2" xfId="11662" xr:uid="{00000000-0005-0000-0000-0000EA170000}"/>
    <cellStyle name="Normal 14 4 3 3 3" xfId="9004" xr:uid="{00000000-0005-0000-0000-0000EB170000}"/>
    <cellStyle name="Normal 14 4 3 4" xfId="4461" xr:uid="{00000000-0005-0000-0000-0000EC170000}"/>
    <cellStyle name="Normal 14 4 3 4 2" xfId="9908" xr:uid="{00000000-0005-0000-0000-0000ED170000}"/>
    <cellStyle name="Normal 14 4 3 5" xfId="7250" xr:uid="{00000000-0005-0000-0000-0000EE170000}"/>
    <cellStyle name="Normal 14 4 4" xfId="1686" xr:uid="{00000000-0005-0000-0000-0000EF170000}"/>
    <cellStyle name="Normal 14 4 4 2" xfId="5035" xr:uid="{00000000-0005-0000-0000-0000F0170000}"/>
    <cellStyle name="Normal 14 4 4 2 2" xfId="10349" xr:uid="{00000000-0005-0000-0000-0000F1170000}"/>
    <cellStyle name="Normal 14 4 4 3" xfId="7691" xr:uid="{00000000-0005-0000-0000-0000F2170000}"/>
    <cellStyle name="Normal 14 4 5" xfId="2607" xr:uid="{00000000-0005-0000-0000-0000F3170000}"/>
    <cellStyle name="Normal 14 4 5 2" xfId="5912" xr:uid="{00000000-0005-0000-0000-0000F4170000}"/>
    <cellStyle name="Normal 14 4 5 2 2" xfId="11226" xr:uid="{00000000-0005-0000-0000-0000F5170000}"/>
    <cellStyle name="Normal 14 4 5 3" xfId="8568" xr:uid="{00000000-0005-0000-0000-0000F6170000}"/>
    <cellStyle name="Normal 14 4 6" xfId="3776" xr:uid="{00000000-0005-0000-0000-0000F7170000}"/>
    <cellStyle name="Normal 14 4 6 2" xfId="9472" xr:uid="{00000000-0005-0000-0000-0000F8170000}"/>
    <cellStyle name="Normal 14 4 7" xfId="6814" xr:uid="{00000000-0005-0000-0000-0000F9170000}"/>
    <cellStyle name="Normal 14 5" xfId="556" xr:uid="{00000000-0005-0000-0000-0000FA170000}"/>
    <cellStyle name="Normal 14 5 2" xfId="1243" xr:uid="{00000000-0005-0000-0000-0000FB170000}"/>
    <cellStyle name="Normal 14 5 2 2" xfId="2235" xr:uid="{00000000-0005-0000-0000-0000FC170000}"/>
    <cellStyle name="Normal 14 5 2 2 2" xfId="5582" xr:uid="{00000000-0005-0000-0000-0000FD170000}"/>
    <cellStyle name="Normal 14 5 2 2 2 2" xfId="10896" xr:uid="{00000000-0005-0000-0000-0000FE170000}"/>
    <cellStyle name="Normal 14 5 2 2 3" xfId="8238" xr:uid="{00000000-0005-0000-0000-0000FF170000}"/>
    <cellStyle name="Normal 14 5 2 3" xfId="3156" xr:uid="{00000000-0005-0000-0000-000000180000}"/>
    <cellStyle name="Normal 14 5 2 3 2" xfId="6459" xr:uid="{00000000-0005-0000-0000-000001180000}"/>
    <cellStyle name="Normal 14 5 2 3 2 2" xfId="11773" xr:uid="{00000000-0005-0000-0000-000002180000}"/>
    <cellStyle name="Normal 14 5 2 3 3" xfId="9115" xr:uid="{00000000-0005-0000-0000-000003180000}"/>
    <cellStyle name="Normal 14 5 2 4" xfId="4635" xr:uid="{00000000-0005-0000-0000-000004180000}"/>
    <cellStyle name="Normal 14 5 2 4 2" xfId="10019" xr:uid="{00000000-0005-0000-0000-000005180000}"/>
    <cellStyle name="Normal 14 5 2 5" xfId="7361" xr:uid="{00000000-0005-0000-0000-000006180000}"/>
    <cellStyle name="Normal 14 5 3" xfId="1797" xr:uid="{00000000-0005-0000-0000-000007180000}"/>
    <cellStyle name="Normal 14 5 3 2" xfId="5146" xr:uid="{00000000-0005-0000-0000-000008180000}"/>
    <cellStyle name="Normal 14 5 3 2 2" xfId="10460" xr:uid="{00000000-0005-0000-0000-000009180000}"/>
    <cellStyle name="Normal 14 5 3 3" xfId="7802" xr:uid="{00000000-0005-0000-0000-00000A180000}"/>
    <cellStyle name="Normal 14 5 4" xfId="2718" xr:uid="{00000000-0005-0000-0000-00000B180000}"/>
    <cellStyle name="Normal 14 5 4 2" xfId="6023" xr:uid="{00000000-0005-0000-0000-00000C180000}"/>
    <cellStyle name="Normal 14 5 4 2 2" xfId="11337" xr:uid="{00000000-0005-0000-0000-00000D180000}"/>
    <cellStyle name="Normal 14 5 4 3" xfId="8679" xr:uid="{00000000-0005-0000-0000-00000E180000}"/>
    <cellStyle name="Normal 14 5 5" xfId="3950" xr:uid="{00000000-0005-0000-0000-00000F180000}"/>
    <cellStyle name="Normal 14 5 5 2" xfId="9583" xr:uid="{00000000-0005-0000-0000-000010180000}"/>
    <cellStyle name="Normal 14 5 6" xfId="6925" xr:uid="{00000000-0005-0000-0000-000011180000}"/>
    <cellStyle name="Normal 14 6" xfId="921" xr:uid="{00000000-0005-0000-0000-000012180000}"/>
    <cellStyle name="Normal 14 6 2" xfId="2035" xr:uid="{00000000-0005-0000-0000-000013180000}"/>
    <cellStyle name="Normal 14 6 2 2" xfId="5382" xr:uid="{00000000-0005-0000-0000-000014180000}"/>
    <cellStyle name="Normal 14 6 2 2 2" xfId="10696" xr:uid="{00000000-0005-0000-0000-000015180000}"/>
    <cellStyle name="Normal 14 6 2 3" xfId="8038" xr:uid="{00000000-0005-0000-0000-000016180000}"/>
    <cellStyle name="Normal 14 6 3" xfId="2956" xr:uid="{00000000-0005-0000-0000-000017180000}"/>
    <cellStyle name="Normal 14 6 3 2" xfId="6259" xr:uid="{00000000-0005-0000-0000-000018180000}"/>
    <cellStyle name="Normal 14 6 3 2 2" xfId="11573" xr:uid="{00000000-0005-0000-0000-000019180000}"/>
    <cellStyle name="Normal 14 6 3 3" xfId="8915" xr:uid="{00000000-0005-0000-0000-00001A180000}"/>
    <cellStyle name="Normal 14 6 4" xfId="4313" xr:uid="{00000000-0005-0000-0000-00001B180000}"/>
    <cellStyle name="Normal 14 6 4 2" xfId="9819" xr:uid="{00000000-0005-0000-0000-00001C180000}"/>
    <cellStyle name="Normal 14 6 5" xfId="7161" xr:uid="{00000000-0005-0000-0000-00001D180000}"/>
    <cellStyle name="Normal 14 7" xfId="1590" xr:uid="{00000000-0005-0000-0000-00001E180000}"/>
    <cellStyle name="Normal 14 7 2" xfId="4946" xr:uid="{00000000-0005-0000-0000-00001F180000}"/>
    <cellStyle name="Normal 14 7 2 2" xfId="10260" xr:uid="{00000000-0005-0000-0000-000020180000}"/>
    <cellStyle name="Normal 14 7 3" xfId="7602" xr:uid="{00000000-0005-0000-0000-000021180000}"/>
    <cellStyle name="Normal 14 8" xfId="2512" xr:uid="{00000000-0005-0000-0000-000022180000}"/>
    <cellStyle name="Normal 14 8 2" xfId="5823" xr:uid="{00000000-0005-0000-0000-000023180000}"/>
    <cellStyle name="Normal 14 8 2 2" xfId="11137" xr:uid="{00000000-0005-0000-0000-000024180000}"/>
    <cellStyle name="Normal 14 8 3" xfId="8479" xr:uid="{00000000-0005-0000-0000-000025180000}"/>
    <cellStyle name="Normal 14 9" xfId="3502" xr:uid="{00000000-0005-0000-0000-000026180000}"/>
    <cellStyle name="Normal 15" xfId="75" xr:uid="{00000000-0005-0000-0000-000027180000}"/>
    <cellStyle name="Normal 15 10" xfId="2472" xr:uid="{00000000-0005-0000-0000-000028180000}"/>
    <cellStyle name="Normal 15 10 2" xfId="5814" xr:uid="{00000000-0005-0000-0000-000029180000}"/>
    <cellStyle name="Normal 15 10 2 2" xfId="11128" xr:uid="{00000000-0005-0000-0000-00002A180000}"/>
    <cellStyle name="Normal 15 10 3" xfId="8470" xr:uid="{00000000-0005-0000-0000-00002B180000}"/>
    <cellStyle name="Normal 15 11" xfId="3504" xr:uid="{00000000-0005-0000-0000-00002C180000}"/>
    <cellStyle name="Normal 15 12" xfId="3562" xr:uid="{00000000-0005-0000-0000-00002D180000}"/>
    <cellStyle name="Normal 15 12 2" xfId="9374" xr:uid="{00000000-0005-0000-0000-00002E180000}"/>
    <cellStyle name="Normal 15 13" xfId="6711" xr:uid="{00000000-0005-0000-0000-00002F180000}"/>
    <cellStyle name="Normal 15 2" xfId="193" xr:uid="{00000000-0005-0000-0000-000030180000}"/>
    <cellStyle name="Normal 15 2 2" xfId="232" xr:uid="{00000000-0005-0000-0000-000031180000}"/>
    <cellStyle name="Normal 15 2 2 2" xfId="235" xr:uid="{00000000-0005-0000-0000-000032180000}"/>
    <cellStyle name="Normal 15 2 2 2 10" xfId="6768" xr:uid="{00000000-0005-0000-0000-000033180000}"/>
    <cellStyle name="Normal 15 2 2 2 2" xfId="298" xr:uid="{00000000-0005-0000-0000-000034180000}"/>
    <cellStyle name="Normal 15 2 2 2 2 10" xfId="6788" xr:uid="{00000000-0005-0000-0000-000035180000}"/>
    <cellStyle name="Normal 15 2 2 2 2 2" xfId="307" xr:uid="{00000000-0005-0000-0000-000036180000}"/>
    <cellStyle name="Normal 15 2 2 2 2 2 2" xfId="477" xr:uid="{00000000-0005-0000-0000-000037180000}"/>
    <cellStyle name="Normal 15 2 2 2 2 2 2 2" xfId="812" xr:uid="{00000000-0005-0000-0000-000038180000}"/>
    <cellStyle name="Normal 15 2 2 2 2 2 2 2 2" xfId="1498" xr:uid="{00000000-0005-0000-0000-000039180000}"/>
    <cellStyle name="Normal 15 2 2 2 2 2 2 2 2 2" xfId="2424" xr:uid="{00000000-0005-0000-0000-00003A180000}"/>
    <cellStyle name="Normal 15 2 2 2 2 2 2 2 2 2 2" xfId="5771" xr:uid="{00000000-0005-0000-0000-00003B180000}"/>
    <cellStyle name="Normal 15 2 2 2 2 2 2 2 2 2 2 2" xfId="11085" xr:uid="{00000000-0005-0000-0000-00003C180000}"/>
    <cellStyle name="Normal 15 2 2 2 2 2 2 2 2 2 3" xfId="8427" xr:uid="{00000000-0005-0000-0000-00003D180000}"/>
    <cellStyle name="Normal 15 2 2 2 2 2 2 2 2 3" xfId="3345" xr:uid="{00000000-0005-0000-0000-00003E180000}"/>
    <cellStyle name="Normal 15 2 2 2 2 2 2 2 2 3 2" xfId="6648" xr:uid="{00000000-0005-0000-0000-00003F180000}"/>
    <cellStyle name="Normal 15 2 2 2 2 2 2 2 2 3 2 2" xfId="11962" xr:uid="{00000000-0005-0000-0000-000040180000}"/>
    <cellStyle name="Normal 15 2 2 2 2 2 2 2 2 3 3" xfId="9304" xr:uid="{00000000-0005-0000-0000-000041180000}"/>
    <cellStyle name="Normal 15 2 2 2 2 2 2 2 2 4" xfId="4890" xr:uid="{00000000-0005-0000-0000-000042180000}"/>
    <cellStyle name="Normal 15 2 2 2 2 2 2 2 2 4 2" xfId="10208" xr:uid="{00000000-0005-0000-0000-000043180000}"/>
    <cellStyle name="Normal 15 2 2 2 2 2 2 2 2 5" xfId="7550" xr:uid="{00000000-0005-0000-0000-000044180000}"/>
    <cellStyle name="Normal 15 2 2 2 2 2 2 2 3" xfId="1987" xr:uid="{00000000-0005-0000-0000-000045180000}"/>
    <cellStyle name="Normal 15 2 2 2 2 2 2 2 3 2" xfId="5335" xr:uid="{00000000-0005-0000-0000-000046180000}"/>
    <cellStyle name="Normal 15 2 2 2 2 2 2 2 3 2 2" xfId="10649" xr:uid="{00000000-0005-0000-0000-000047180000}"/>
    <cellStyle name="Normal 15 2 2 2 2 2 2 2 3 3" xfId="7991" xr:uid="{00000000-0005-0000-0000-000048180000}"/>
    <cellStyle name="Normal 15 2 2 2 2 2 2 2 4" xfId="2908" xr:uid="{00000000-0005-0000-0000-000049180000}"/>
    <cellStyle name="Normal 15 2 2 2 2 2 2 2 4 2" xfId="6212" xr:uid="{00000000-0005-0000-0000-00004A180000}"/>
    <cellStyle name="Normal 15 2 2 2 2 2 2 2 4 2 2" xfId="11526" xr:uid="{00000000-0005-0000-0000-00004B180000}"/>
    <cellStyle name="Normal 15 2 2 2 2 2 2 2 4 3" xfId="8868" xr:uid="{00000000-0005-0000-0000-00004C180000}"/>
    <cellStyle name="Normal 15 2 2 2 2 2 2 2 5" xfId="4205" xr:uid="{00000000-0005-0000-0000-00004D180000}"/>
    <cellStyle name="Normal 15 2 2 2 2 2 2 2 5 2" xfId="9772" xr:uid="{00000000-0005-0000-0000-00004E180000}"/>
    <cellStyle name="Normal 15 2 2 2 2 2 2 2 6" xfId="7114" xr:uid="{00000000-0005-0000-0000-00004F180000}"/>
    <cellStyle name="Normal 15 2 2 2 2 2 2 3" xfId="835" xr:uid="{00000000-0005-0000-0000-000050180000}"/>
    <cellStyle name="Normal 15 2 2 2 2 2 2 3 2" xfId="1520" xr:uid="{00000000-0005-0000-0000-000051180000}"/>
    <cellStyle name="Normal 15 2 2 2 2 2 2 3 2 2" xfId="2442" xr:uid="{00000000-0005-0000-0000-000052180000}"/>
    <cellStyle name="Normal 15 2 2 2 2 2 2 3 2 2 2" xfId="5789" xr:uid="{00000000-0005-0000-0000-000053180000}"/>
    <cellStyle name="Normal 15 2 2 2 2 2 2 3 2 2 2 2" xfId="11103" xr:uid="{00000000-0005-0000-0000-000054180000}"/>
    <cellStyle name="Normal 15 2 2 2 2 2 2 3 2 2 3" xfId="8445" xr:uid="{00000000-0005-0000-0000-000055180000}"/>
    <cellStyle name="Normal 15 2 2 2 2 2 2 3 2 3" xfId="3363" xr:uid="{00000000-0005-0000-0000-000056180000}"/>
    <cellStyle name="Normal 15 2 2 2 2 2 2 3 2 3 2" xfId="6666" xr:uid="{00000000-0005-0000-0000-000057180000}"/>
    <cellStyle name="Normal 15 2 2 2 2 2 2 3 2 3 2 2" xfId="11980" xr:uid="{00000000-0005-0000-0000-000058180000}"/>
    <cellStyle name="Normal 15 2 2 2 2 2 2 3 2 3 3" xfId="9322" xr:uid="{00000000-0005-0000-0000-000059180000}"/>
    <cellStyle name="Normal 15 2 2 2 2 2 2 3 2 4" xfId="4912" xr:uid="{00000000-0005-0000-0000-00005A180000}"/>
    <cellStyle name="Normal 15 2 2 2 2 2 2 3 2 4 2" xfId="10226" xr:uid="{00000000-0005-0000-0000-00005B180000}"/>
    <cellStyle name="Normal 15 2 2 2 2 2 2 3 2 5" xfId="7568" xr:uid="{00000000-0005-0000-0000-00005C180000}"/>
    <cellStyle name="Normal 15 2 2 2 2 2 2 3 3" xfId="2006" xr:uid="{00000000-0005-0000-0000-00005D180000}"/>
    <cellStyle name="Normal 15 2 2 2 2 2 2 3 3 2" xfId="5353" xr:uid="{00000000-0005-0000-0000-00005E180000}"/>
    <cellStyle name="Normal 15 2 2 2 2 2 2 3 3 2 2" xfId="10667" xr:uid="{00000000-0005-0000-0000-00005F180000}"/>
    <cellStyle name="Normal 15 2 2 2 2 2 2 3 3 3" xfId="8009" xr:uid="{00000000-0005-0000-0000-000060180000}"/>
    <cellStyle name="Normal 15 2 2 2 2 2 2 3 4" xfId="2927" xr:uid="{00000000-0005-0000-0000-000061180000}"/>
    <cellStyle name="Normal 15 2 2 2 2 2 2 3 4 2" xfId="6230" xr:uid="{00000000-0005-0000-0000-000062180000}"/>
    <cellStyle name="Normal 15 2 2 2 2 2 2 3 4 2 2" xfId="11544" xr:uid="{00000000-0005-0000-0000-000063180000}"/>
    <cellStyle name="Normal 15 2 2 2 2 2 2 3 4 3" xfId="8886" xr:uid="{00000000-0005-0000-0000-000064180000}"/>
    <cellStyle name="Normal 15 2 2 2 2 2 2 3 5" xfId="4227" xr:uid="{00000000-0005-0000-0000-000065180000}"/>
    <cellStyle name="Normal 15 2 2 2 2 2 2 3 5 2" xfId="9790" xr:uid="{00000000-0005-0000-0000-000066180000}"/>
    <cellStyle name="Normal 15 2 2 2 2 2 2 3 6" xfId="7132" xr:uid="{00000000-0005-0000-0000-000067180000}"/>
    <cellStyle name="Normal 15 2 2 2 2 2 2 4" xfId="799" xr:uid="{00000000-0005-0000-0000-000068180000}"/>
    <cellStyle name="Normal 15 2 2 2 2 2 2 4 2" xfId="1486" xr:uid="{00000000-0005-0000-0000-000069180000}"/>
    <cellStyle name="Normal 15 2 2 2 2 2 2 4 2 2" xfId="2414" xr:uid="{00000000-0005-0000-0000-00006A180000}"/>
    <cellStyle name="Normal 15 2 2 2 2 2 2 4 2 2 2" xfId="5761" xr:uid="{00000000-0005-0000-0000-00006B180000}"/>
    <cellStyle name="Normal 15 2 2 2 2 2 2 4 2 2 2 2" xfId="11075" xr:uid="{00000000-0005-0000-0000-00006C180000}"/>
    <cellStyle name="Normal 15 2 2 2 2 2 2 4 2 2 3" xfId="8417" xr:uid="{00000000-0005-0000-0000-00006D180000}"/>
    <cellStyle name="Normal 15 2 2 2 2 2 2 4 2 3" xfId="3335" xr:uid="{00000000-0005-0000-0000-00006E180000}"/>
    <cellStyle name="Normal 15 2 2 2 2 2 2 4 2 3 2" xfId="6638" xr:uid="{00000000-0005-0000-0000-00006F180000}"/>
    <cellStyle name="Normal 15 2 2 2 2 2 2 4 2 3 2 2" xfId="11952" xr:uid="{00000000-0005-0000-0000-000070180000}"/>
    <cellStyle name="Normal 15 2 2 2 2 2 2 4 2 3 3" xfId="9294" xr:uid="{00000000-0005-0000-0000-000071180000}"/>
    <cellStyle name="Normal 15 2 2 2 2 2 2 4 2 4" xfId="4878" xr:uid="{00000000-0005-0000-0000-000072180000}"/>
    <cellStyle name="Normal 15 2 2 2 2 2 2 4 2 4 2" xfId="10198" xr:uid="{00000000-0005-0000-0000-000073180000}"/>
    <cellStyle name="Normal 15 2 2 2 2 2 2 4 2 5" xfId="7540" xr:uid="{00000000-0005-0000-0000-000074180000}"/>
    <cellStyle name="Normal 15 2 2 2 2 2 2 4 3" xfId="1976" xr:uid="{00000000-0005-0000-0000-000075180000}"/>
    <cellStyle name="Normal 15 2 2 2 2 2 2 4 3 2" xfId="5325" xr:uid="{00000000-0005-0000-0000-000076180000}"/>
    <cellStyle name="Normal 15 2 2 2 2 2 2 4 3 2 2" xfId="10639" xr:uid="{00000000-0005-0000-0000-000077180000}"/>
    <cellStyle name="Normal 15 2 2 2 2 2 2 4 3 3" xfId="7981" xr:uid="{00000000-0005-0000-0000-000078180000}"/>
    <cellStyle name="Normal 15 2 2 2 2 2 2 4 4" xfId="2897" xr:uid="{00000000-0005-0000-0000-000079180000}"/>
    <cellStyle name="Normal 15 2 2 2 2 2 2 4 4 2" xfId="6202" xr:uid="{00000000-0005-0000-0000-00007A180000}"/>
    <cellStyle name="Normal 15 2 2 2 2 2 2 4 4 2 2" xfId="11516" xr:uid="{00000000-0005-0000-0000-00007B180000}"/>
    <cellStyle name="Normal 15 2 2 2 2 2 2 4 4 3" xfId="8858" xr:uid="{00000000-0005-0000-0000-00007C180000}"/>
    <cellStyle name="Normal 15 2 2 2 2 2 2 4 5" xfId="4193" xr:uid="{00000000-0005-0000-0000-00007D180000}"/>
    <cellStyle name="Normal 15 2 2 2 2 2 2 4 5 2" xfId="9762" xr:uid="{00000000-0005-0000-0000-00007E180000}"/>
    <cellStyle name="Normal 15 2 2 2 2 2 2 4 6" xfId="7104" xr:uid="{00000000-0005-0000-0000-00007F180000}"/>
    <cellStyle name="Normal 15 2 2 2 2 2 2 5" xfId="1164" xr:uid="{00000000-0005-0000-0000-000080180000}"/>
    <cellStyle name="Normal 15 2 2 2 2 2 2 5 2" xfId="2214" xr:uid="{00000000-0005-0000-0000-000081180000}"/>
    <cellStyle name="Normal 15 2 2 2 2 2 2 5 2 2" xfId="5561" xr:uid="{00000000-0005-0000-0000-000082180000}"/>
    <cellStyle name="Normal 15 2 2 2 2 2 2 5 2 2 2" xfId="10875" xr:uid="{00000000-0005-0000-0000-000083180000}"/>
    <cellStyle name="Normal 15 2 2 2 2 2 2 5 2 3" xfId="8217" xr:uid="{00000000-0005-0000-0000-000084180000}"/>
    <cellStyle name="Normal 15 2 2 2 2 2 2 5 3" xfId="3135" xr:uid="{00000000-0005-0000-0000-000085180000}"/>
    <cellStyle name="Normal 15 2 2 2 2 2 2 5 3 2" xfId="6438" xr:uid="{00000000-0005-0000-0000-000086180000}"/>
    <cellStyle name="Normal 15 2 2 2 2 2 2 5 3 2 2" xfId="11752" xr:uid="{00000000-0005-0000-0000-000087180000}"/>
    <cellStyle name="Normal 15 2 2 2 2 2 2 5 3 3" xfId="9094" xr:uid="{00000000-0005-0000-0000-000088180000}"/>
    <cellStyle name="Normal 15 2 2 2 2 2 2 5 4" xfId="4556" xr:uid="{00000000-0005-0000-0000-000089180000}"/>
    <cellStyle name="Normal 15 2 2 2 2 2 2 5 4 2" xfId="9998" xr:uid="{00000000-0005-0000-0000-00008A180000}"/>
    <cellStyle name="Normal 15 2 2 2 2 2 2 5 5" xfId="7340" xr:uid="{00000000-0005-0000-0000-00008B180000}"/>
    <cellStyle name="Normal 15 2 2 2 2 2 2 6" xfId="1776" xr:uid="{00000000-0005-0000-0000-00008C180000}"/>
    <cellStyle name="Normal 15 2 2 2 2 2 2 6 2" xfId="5125" xr:uid="{00000000-0005-0000-0000-00008D180000}"/>
    <cellStyle name="Normal 15 2 2 2 2 2 2 6 2 2" xfId="10439" xr:uid="{00000000-0005-0000-0000-00008E180000}"/>
    <cellStyle name="Normal 15 2 2 2 2 2 2 6 3" xfId="7781" xr:uid="{00000000-0005-0000-0000-00008F180000}"/>
    <cellStyle name="Normal 15 2 2 2 2 2 2 7" xfId="2697" xr:uid="{00000000-0005-0000-0000-000090180000}"/>
    <cellStyle name="Normal 15 2 2 2 2 2 2 7 2" xfId="6002" xr:uid="{00000000-0005-0000-0000-000091180000}"/>
    <cellStyle name="Normal 15 2 2 2 2 2 2 7 2 2" xfId="11316" xr:uid="{00000000-0005-0000-0000-000092180000}"/>
    <cellStyle name="Normal 15 2 2 2 2 2 2 7 3" xfId="8658" xr:uid="{00000000-0005-0000-0000-000093180000}"/>
    <cellStyle name="Normal 15 2 2 2 2 2 2 8" xfId="3871" xr:uid="{00000000-0005-0000-0000-000094180000}"/>
    <cellStyle name="Normal 15 2 2 2 2 2 2 8 2" xfId="9562" xr:uid="{00000000-0005-0000-0000-000095180000}"/>
    <cellStyle name="Normal 15 2 2 2 2 2 2 9" xfId="6904" xr:uid="{00000000-0005-0000-0000-000096180000}"/>
    <cellStyle name="Normal 15 2 2 2 2 2 3" xfId="630" xr:uid="{00000000-0005-0000-0000-000097180000}"/>
    <cellStyle name="Normal 15 2 2 2 2 2 3 2" xfId="1317" xr:uid="{00000000-0005-0000-0000-000098180000}"/>
    <cellStyle name="Normal 15 2 2 2 2 2 3 2 2" xfId="2307" xr:uid="{00000000-0005-0000-0000-000099180000}"/>
    <cellStyle name="Normal 15 2 2 2 2 2 3 2 2 2" xfId="5654" xr:uid="{00000000-0005-0000-0000-00009A180000}"/>
    <cellStyle name="Normal 15 2 2 2 2 2 3 2 2 2 2" xfId="10968" xr:uid="{00000000-0005-0000-0000-00009B180000}"/>
    <cellStyle name="Normal 15 2 2 2 2 2 3 2 2 3" xfId="8310" xr:uid="{00000000-0005-0000-0000-00009C180000}"/>
    <cellStyle name="Normal 15 2 2 2 2 2 3 2 3" xfId="3228" xr:uid="{00000000-0005-0000-0000-00009D180000}"/>
    <cellStyle name="Normal 15 2 2 2 2 2 3 2 3 2" xfId="6531" xr:uid="{00000000-0005-0000-0000-00009E180000}"/>
    <cellStyle name="Normal 15 2 2 2 2 2 3 2 3 2 2" xfId="11845" xr:uid="{00000000-0005-0000-0000-00009F180000}"/>
    <cellStyle name="Normal 15 2 2 2 2 2 3 2 3 3" xfId="9187" xr:uid="{00000000-0005-0000-0000-0000A0180000}"/>
    <cellStyle name="Normal 15 2 2 2 2 2 3 2 4" xfId="4709" xr:uid="{00000000-0005-0000-0000-0000A1180000}"/>
    <cellStyle name="Normal 15 2 2 2 2 2 3 2 4 2" xfId="10091" xr:uid="{00000000-0005-0000-0000-0000A2180000}"/>
    <cellStyle name="Normal 15 2 2 2 2 2 3 2 5" xfId="7433" xr:uid="{00000000-0005-0000-0000-0000A3180000}"/>
    <cellStyle name="Normal 15 2 2 2 2 2 3 3" xfId="1869" xr:uid="{00000000-0005-0000-0000-0000A4180000}"/>
    <cellStyle name="Normal 15 2 2 2 2 2 3 3 2" xfId="5218" xr:uid="{00000000-0005-0000-0000-0000A5180000}"/>
    <cellStyle name="Normal 15 2 2 2 2 2 3 3 2 2" xfId="10532" xr:uid="{00000000-0005-0000-0000-0000A6180000}"/>
    <cellStyle name="Normal 15 2 2 2 2 2 3 3 3" xfId="7874" xr:uid="{00000000-0005-0000-0000-0000A7180000}"/>
    <cellStyle name="Normal 15 2 2 2 2 2 3 4" xfId="2790" xr:uid="{00000000-0005-0000-0000-0000A8180000}"/>
    <cellStyle name="Normal 15 2 2 2 2 2 3 4 2" xfId="6095" xr:uid="{00000000-0005-0000-0000-0000A9180000}"/>
    <cellStyle name="Normal 15 2 2 2 2 2 3 4 2 2" xfId="11409" xr:uid="{00000000-0005-0000-0000-0000AA180000}"/>
    <cellStyle name="Normal 15 2 2 2 2 2 3 4 3" xfId="8751" xr:uid="{00000000-0005-0000-0000-0000AB180000}"/>
    <cellStyle name="Normal 15 2 2 2 2 2 3 5" xfId="4024" xr:uid="{00000000-0005-0000-0000-0000AC180000}"/>
    <cellStyle name="Normal 15 2 2 2 2 2 3 5 2" xfId="9655" xr:uid="{00000000-0005-0000-0000-0000AD180000}"/>
    <cellStyle name="Normal 15 2 2 2 2 2 3 6" xfId="6997" xr:uid="{00000000-0005-0000-0000-0000AE180000}"/>
    <cellStyle name="Normal 15 2 2 2 2 2 4" xfId="995" xr:uid="{00000000-0005-0000-0000-0000AF180000}"/>
    <cellStyle name="Normal 15 2 2 2 2 2 4 2" xfId="2107" xr:uid="{00000000-0005-0000-0000-0000B0180000}"/>
    <cellStyle name="Normal 15 2 2 2 2 2 4 2 2" xfId="5454" xr:uid="{00000000-0005-0000-0000-0000B1180000}"/>
    <cellStyle name="Normal 15 2 2 2 2 2 4 2 2 2" xfId="10768" xr:uid="{00000000-0005-0000-0000-0000B2180000}"/>
    <cellStyle name="Normal 15 2 2 2 2 2 4 2 3" xfId="8110" xr:uid="{00000000-0005-0000-0000-0000B3180000}"/>
    <cellStyle name="Normal 15 2 2 2 2 2 4 3" xfId="3028" xr:uid="{00000000-0005-0000-0000-0000B4180000}"/>
    <cellStyle name="Normal 15 2 2 2 2 2 4 3 2" xfId="6331" xr:uid="{00000000-0005-0000-0000-0000B5180000}"/>
    <cellStyle name="Normal 15 2 2 2 2 2 4 3 2 2" xfId="11645" xr:uid="{00000000-0005-0000-0000-0000B6180000}"/>
    <cellStyle name="Normal 15 2 2 2 2 2 4 3 3" xfId="8987" xr:uid="{00000000-0005-0000-0000-0000B7180000}"/>
    <cellStyle name="Normal 15 2 2 2 2 2 4 4" xfId="4387" xr:uid="{00000000-0005-0000-0000-0000B8180000}"/>
    <cellStyle name="Normal 15 2 2 2 2 2 4 4 2" xfId="9891" xr:uid="{00000000-0005-0000-0000-0000B9180000}"/>
    <cellStyle name="Normal 15 2 2 2 2 2 4 5" xfId="7233" xr:uid="{00000000-0005-0000-0000-0000BA180000}"/>
    <cellStyle name="Normal 15 2 2 2 2 2 5" xfId="1669" xr:uid="{00000000-0005-0000-0000-0000BB180000}"/>
    <cellStyle name="Normal 15 2 2 2 2 2 5 2" xfId="5018" xr:uid="{00000000-0005-0000-0000-0000BC180000}"/>
    <cellStyle name="Normal 15 2 2 2 2 2 5 2 2" xfId="10332" xr:uid="{00000000-0005-0000-0000-0000BD180000}"/>
    <cellStyle name="Normal 15 2 2 2 2 2 5 3" xfId="7674" xr:uid="{00000000-0005-0000-0000-0000BE180000}"/>
    <cellStyle name="Normal 15 2 2 2 2 2 6" xfId="2590" xr:uid="{00000000-0005-0000-0000-0000BF180000}"/>
    <cellStyle name="Normal 15 2 2 2 2 2 6 2" xfId="5895" xr:uid="{00000000-0005-0000-0000-0000C0180000}"/>
    <cellStyle name="Normal 15 2 2 2 2 2 6 2 2" xfId="11209" xr:uid="{00000000-0005-0000-0000-0000C1180000}"/>
    <cellStyle name="Normal 15 2 2 2 2 2 6 3" xfId="8551" xr:uid="{00000000-0005-0000-0000-0000C2180000}"/>
    <cellStyle name="Normal 15 2 2 2 2 2 7" xfId="3702" xr:uid="{00000000-0005-0000-0000-0000C3180000}"/>
    <cellStyle name="Normal 15 2 2 2 2 2 7 2" xfId="9455" xr:uid="{00000000-0005-0000-0000-0000C4180000}"/>
    <cellStyle name="Normal 15 2 2 2 2 2 8" xfId="6797" xr:uid="{00000000-0005-0000-0000-0000C5180000}"/>
    <cellStyle name="Normal 15 2 2 2 2 3" xfId="454" xr:uid="{00000000-0005-0000-0000-0000C6180000}"/>
    <cellStyle name="Normal 15 2 2 2 2 3 2" xfId="776" xr:uid="{00000000-0005-0000-0000-0000C7180000}"/>
    <cellStyle name="Normal 15 2 2 2 2 3 2 2" xfId="1463" xr:uid="{00000000-0005-0000-0000-0000C8180000}"/>
    <cellStyle name="Normal 15 2 2 2 2 3 2 2 2" xfId="2391" xr:uid="{00000000-0005-0000-0000-0000C9180000}"/>
    <cellStyle name="Normal 15 2 2 2 2 3 2 2 2 2" xfId="5738" xr:uid="{00000000-0005-0000-0000-0000CA180000}"/>
    <cellStyle name="Normal 15 2 2 2 2 3 2 2 2 2 2" xfId="11052" xr:uid="{00000000-0005-0000-0000-0000CB180000}"/>
    <cellStyle name="Normal 15 2 2 2 2 3 2 2 2 3" xfId="8394" xr:uid="{00000000-0005-0000-0000-0000CC180000}"/>
    <cellStyle name="Normal 15 2 2 2 2 3 2 2 3" xfId="3312" xr:uid="{00000000-0005-0000-0000-0000CD180000}"/>
    <cellStyle name="Normal 15 2 2 2 2 3 2 2 3 2" xfId="6615" xr:uid="{00000000-0005-0000-0000-0000CE180000}"/>
    <cellStyle name="Normal 15 2 2 2 2 3 2 2 3 2 2" xfId="11929" xr:uid="{00000000-0005-0000-0000-0000CF180000}"/>
    <cellStyle name="Normal 15 2 2 2 2 3 2 2 3 3" xfId="9271" xr:uid="{00000000-0005-0000-0000-0000D0180000}"/>
    <cellStyle name="Normal 15 2 2 2 2 3 2 2 4" xfId="4855" xr:uid="{00000000-0005-0000-0000-0000D1180000}"/>
    <cellStyle name="Normal 15 2 2 2 2 3 2 2 4 2" xfId="10175" xr:uid="{00000000-0005-0000-0000-0000D2180000}"/>
    <cellStyle name="Normal 15 2 2 2 2 3 2 2 5" xfId="7517" xr:uid="{00000000-0005-0000-0000-0000D3180000}"/>
    <cellStyle name="Normal 15 2 2 2 2 3 2 3" xfId="1953" xr:uid="{00000000-0005-0000-0000-0000D4180000}"/>
    <cellStyle name="Normal 15 2 2 2 2 3 2 3 2" xfId="5302" xr:uid="{00000000-0005-0000-0000-0000D5180000}"/>
    <cellStyle name="Normal 15 2 2 2 2 3 2 3 2 2" xfId="10616" xr:uid="{00000000-0005-0000-0000-0000D6180000}"/>
    <cellStyle name="Normal 15 2 2 2 2 3 2 3 3" xfId="7958" xr:uid="{00000000-0005-0000-0000-0000D7180000}"/>
    <cellStyle name="Normal 15 2 2 2 2 3 2 4" xfId="2874" xr:uid="{00000000-0005-0000-0000-0000D8180000}"/>
    <cellStyle name="Normal 15 2 2 2 2 3 2 4 2" xfId="6179" xr:uid="{00000000-0005-0000-0000-0000D9180000}"/>
    <cellStyle name="Normal 15 2 2 2 2 3 2 4 2 2" xfId="11493" xr:uid="{00000000-0005-0000-0000-0000DA180000}"/>
    <cellStyle name="Normal 15 2 2 2 2 3 2 4 3" xfId="8835" xr:uid="{00000000-0005-0000-0000-0000DB180000}"/>
    <cellStyle name="Normal 15 2 2 2 2 3 2 5" xfId="4170" xr:uid="{00000000-0005-0000-0000-0000DC180000}"/>
    <cellStyle name="Normal 15 2 2 2 2 3 2 5 2" xfId="9739" xr:uid="{00000000-0005-0000-0000-0000DD180000}"/>
    <cellStyle name="Normal 15 2 2 2 2 3 2 6" xfId="7081" xr:uid="{00000000-0005-0000-0000-0000DE180000}"/>
    <cellStyle name="Normal 15 2 2 2 2 3 3" xfId="1141" xr:uid="{00000000-0005-0000-0000-0000DF180000}"/>
    <cellStyle name="Normal 15 2 2 2 2 3 3 2" xfId="2191" xr:uid="{00000000-0005-0000-0000-0000E0180000}"/>
    <cellStyle name="Normal 15 2 2 2 2 3 3 2 2" xfId="5538" xr:uid="{00000000-0005-0000-0000-0000E1180000}"/>
    <cellStyle name="Normal 15 2 2 2 2 3 3 2 2 2" xfId="10852" xr:uid="{00000000-0005-0000-0000-0000E2180000}"/>
    <cellStyle name="Normal 15 2 2 2 2 3 3 2 3" xfId="8194" xr:uid="{00000000-0005-0000-0000-0000E3180000}"/>
    <cellStyle name="Normal 15 2 2 2 2 3 3 3" xfId="3112" xr:uid="{00000000-0005-0000-0000-0000E4180000}"/>
    <cellStyle name="Normal 15 2 2 2 2 3 3 3 2" xfId="6415" xr:uid="{00000000-0005-0000-0000-0000E5180000}"/>
    <cellStyle name="Normal 15 2 2 2 2 3 3 3 2 2" xfId="11729" xr:uid="{00000000-0005-0000-0000-0000E6180000}"/>
    <cellStyle name="Normal 15 2 2 2 2 3 3 3 3" xfId="9071" xr:uid="{00000000-0005-0000-0000-0000E7180000}"/>
    <cellStyle name="Normal 15 2 2 2 2 3 3 4" xfId="4533" xr:uid="{00000000-0005-0000-0000-0000E8180000}"/>
    <cellStyle name="Normal 15 2 2 2 2 3 3 4 2" xfId="9975" xr:uid="{00000000-0005-0000-0000-0000E9180000}"/>
    <cellStyle name="Normal 15 2 2 2 2 3 3 5" xfId="7317" xr:uid="{00000000-0005-0000-0000-0000EA180000}"/>
    <cellStyle name="Normal 15 2 2 2 2 3 4" xfId="1753" xr:uid="{00000000-0005-0000-0000-0000EB180000}"/>
    <cellStyle name="Normal 15 2 2 2 2 3 4 2" xfId="5102" xr:uid="{00000000-0005-0000-0000-0000EC180000}"/>
    <cellStyle name="Normal 15 2 2 2 2 3 4 2 2" xfId="10416" xr:uid="{00000000-0005-0000-0000-0000ED180000}"/>
    <cellStyle name="Normal 15 2 2 2 2 3 4 3" xfId="7758" xr:uid="{00000000-0005-0000-0000-0000EE180000}"/>
    <cellStyle name="Normal 15 2 2 2 2 3 5" xfId="2674" xr:uid="{00000000-0005-0000-0000-0000EF180000}"/>
    <cellStyle name="Normal 15 2 2 2 2 3 5 2" xfId="5979" xr:uid="{00000000-0005-0000-0000-0000F0180000}"/>
    <cellStyle name="Normal 15 2 2 2 2 3 5 2 2" xfId="11293" xr:uid="{00000000-0005-0000-0000-0000F1180000}"/>
    <cellStyle name="Normal 15 2 2 2 2 3 5 3" xfId="8635" xr:uid="{00000000-0005-0000-0000-0000F2180000}"/>
    <cellStyle name="Normal 15 2 2 2 2 3 6" xfId="3848" xr:uid="{00000000-0005-0000-0000-0000F3180000}"/>
    <cellStyle name="Normal 15 2 2 2 2 3 6 2" xfId="9539" xr:uid="{00000000-0005-0000-0000-0000F4180000}"/>
    <cellStyle name="Normal 15 2 2 2 2 3 7" xfId="6881" xr:uid="{00000000-0005-0000-0000-0000F5180000}"/>
    <cellStyle name="Normal 15 2 2 2 2 4" xfId="465" xr:uid="{00000000-0005-0000-0000-0000F6180000}"/>
    <cellStyle name="Normal 15 2 2 2 2 4 2" xfId="478" xr:uid="{00000000-0005-0000-0000-0000F7180000}"/>
    <cellStyle name="Normal 15 2 2 2 2 4 2 2" xfId="800" xr:uid="{00000000-0005-0000-0000-0000F8180000}"/>
    <cellStyle name="Normal 15 2 2 2 2 4 2 2 2" xfId="1487" xr:uid="{00000000-0005-0000-0000-0000F9180000}"/>
    <cellStyle name="Normal 15 2 2 2 2 4 2 2 2 2" xfId="2415" xr:uid="{00000000-0005-0000-0000-0000FA180000}"/>
    <cellStyle name="Normal 15 2 2 2 2 4 2 2 2 2 2" xfId="5762" xr:uid="{00000000-0005-0000-0000-0000FB180000}"/>
    <cellStyle name="Normal 15 2 2 2 2 4 2 2 2 2 2 2" xfId="11076" xr:uid="{00000000-0005-0000-0000-0000FC180000}"/>
    <cellStyle name="Normal 15 2 2 2 2 4 2 2 2 2 3" xfId="8418" xr:uid="{00000000-0005-0000-0000-0000FD180000}"/>
    <cellStyle name="Normal 15 2 2 2 2 4 2 2 2 3" xfId="3336" xr:uid="{00000000-0005-0000-0000-0000FE180000}"/>
    <cellStyle name="Normal 15 2 2 2 2 4 2 2 2 3 2" xfId="6639" xr:uid="{00000000-0005-0000-0000-0000FF180000}"/>
    <cellStyle name="Normal 15 2 2 2 2 4 2 2 2 3 2 2" xfId="11953" xr:uid="{00000000-0005-0000-0000-000000190000}"/>
    <cellStyle name="Normal 15 2 2 2 2 4 2 2 2 3 3" xfId="9295" xr:uid="{00000000-0005-0000-0000-000001190000}"/>
    <cellStyle name="Normal 15 2 2 2 2 4 2 2 2 4" xfId="4879" xr:uid="{00000000-0005-0000-0000-000002190000}"/>
    <cellStyle name="Normal 15 2 2 2 2 4 2 2 2 4 2" xfId="10199" xr:uid="{00000000-0005-0000-0000-000003190000}"/>
    <cellStyle name="Normal 15 2 2 2 2 4 2 2 2 5" xfId="7541" xr:uid="{00000000-0005-0000-0000-000004190000}"/>
    <cellStyle name="Normal 15 2 2 2 2 4 2 2 3" xfId="1977" xr:uid="{00000000-0005-0000-0000-000005190000}"/>
    <cellStyle name="Normal 15 2 2 2 2 4 2 2 3 2" xfId="5326" xr:uid="{00000000-0005-0000-0000-000006190000}"/>
    <cellStyle name="Normal 15 2 2 2 2 4 2 2 3 2 2" xfId="10640" xr:uid="{00000000-0005-0000-0000-000007190000}"/>
    <cellStyle name="Normal 15 2 2 2 2 4 2 2 3 3" xfId="7982" xr:uid="{00000000-0005-0000-0000-000008190000}"/>
    <cellStyle name="Normal 15 2 2 2 2 4 2 2 4" xfId="2898" xr:uid="{00000000-0005-0000-0000-000009190000}"/>
    <cellStyle name="Normal 15 2 2 2 2 4 2 2 4 2" xfId="6203" xr:uid="{00000000-0005-0000-0000-00000A190000}"/>
    <cellStyle name="Normal 15 2 2 2 2 4 2 2 4 2 2" xfId="11517" xr:uid="{00000000-0005-0000-0000-00000B190000}"/>
    <cellStyle name="Normal 15 2 2 2 2 4 2 2 4 3" xfId="8859" xr:uid="{00000000-0005-0000-0000-00000C190000}"/>
    <cellStyle name="Normal 15 2 2 2 2 4 2 2 5" xfId="4194" xr:uid="{00000000-0005-0000-0000-00000D190000}"/>
    <cellStyle name="Normal 15 2 2 2 2 4 2 2 5 2" xfId="9763" xr:uid="{00000000-0005-0000-0000-00000E190000}"/>
    <cellStyle name="Normal 15 2 2 2 2 4 2 2 6" xfId="7105" xr:uid="{00000000-0005-0000-0000-00000F190000}"/>
    <cellStyle name="Normal 15 2 2 2 2 4 2 3" xfId="1165" xr:uid="{00000000-0005-0000-0000-000010190000}"/>
    <cellStyle name="Normal 15 2 2 2 2 4 2 3 2" xfId="2215" xr:uid="{00000000-0005-0000-0000-000011190000}"/>
    <cellStyle name="Normal 15 2 2 2 2 4 2 3 2 2" xfId="5562" xr:uid="{00000000-0005-0000-0000-000012190000}"/>
    <cellStyle name="Normal 15 2 2 2 2 4 2 3 2 2 2" xfId="10876" xr:uid="{00000000-0005-0000-0000-000013190000}"/>
    <cellStyle name="Normal 15 2 2 2 2 4 2 3 2 3" xfId="8218" xr:uid="{00000000-0005-0000-0000-000014190000}"/>
    <cellStyle name="Normal 15 2 2 2 2 4 2 3 3" xfId="3136" xr:uid="{00000000-0005-0000-0000-000015190000}"/>
    <cellStyle name="Normal 15 2 2 2 2 4 2 3 3 2" xfId="6439" xr:uid="{00000000-0005-0000-0000-000016190000}"/>
    <cellStyle name="Normal 15 2 2 2 2 4 2 3 3 2 2" xfId="11753" xr:uid="{00000000-0005-0000-0000-000017190000}"/>
    <cellStyle name="Normal 15 2 2 2 2 4 2 3 3 3" xfId="9095" xr:uid="{00000000-0005-0000-0000-000018190000}"/>
    <cellStyle name="Normal 15 2 2 2 2 4 2 3 4" xfId="4557" xr:uid="{00000000-0005-0000-0000-000019190000}"/>
    <cellStyle name="Normal 15 2 2 2 2 4 2 3 4 2" xfId="9999" xr:uid="{00000000-0005-0000-0000-00001A190000}"/>
    <cellStyle name="Normal 15 2 2 2 2 4 2 3 5" xfId="7341" xr:uid="{00000000-0005-0000-0000-00001B190000}"/>
    <cellStyle name="Normal 15 2 2 2 2 4 2 4" xfId="1777" xr:uid="{00000000-0005-0000-0000-00001C190000}"/>
    <cellStyle name="Normal 15 2 2 2 2 4 2 4 2" xfId="5126" xr:uid="{00000000-0005-0000-0000-00001D190000}"/>
    <cellStyle name="Normal 15 2 2 2 2 4 2 4 2 2" xfId="10440" xr:uid="{00000000-0005-0000-0000-00001E190000}"/>
    <cellStyle name="Normal 15 2 2 2 2 4 2 4 3" xfId="7782" xr:uid="{00000000-0005-0000-0000-00001F190000}"/>
    <cellStyle name="Normal 15 2 2 2 2 4 2 5" xfId="2698" xr:uid="{00000000-0005-0000-0000-000020190000}"/>
    <cellStyle name="Normal 15 2 2 2 2 4 2 5 2" xfId="6003" xr:uid="{00000000-0005-0000-0000-000021190000}"/>
    <cellStyle name="Normal 15 2 2 2 2 4 2 5 2 2" xfId="11317" xr:uid="{00000000-0005-0000-0000-000022190000}"/>
    <cellStyle name="Normal 15 2 2 2 2 4 2 5 3" xfId="8659" xr:uid="{00000000-0005-0000-0000-000023190000}"/>
    <cellStyle name="Normal 15 2 2 2 2 4 2 6" xfId="3505" xr:uid="{00000000-0005-0000-0000-000024190000}"/>
    <cellStyle name="Normal 15 2 2 2 2 4 2 6 2" xfId="9360" xr:uid="{00000000-0005-0000-0000-000025190000}"/>
    <cellStyle name="Normal 15 2 2 2 2 4 2 7" xfId="3872" xr:uid="{00000000-0005-0000-0000-000026190000}"/>
    <cellStyle name="Normal 15 2 2 2 2 4 2 7 2" xfId="9563" xr:uid="{00000000-0005-0000-0000-000027190000}"/>
    <cellStyle name="Normal 15 2 2 2 2 4 2 8" xfId="6905" xr:uid="{00000000-0005-0000-0000-000028190000}"/>
    <cellStyle name="Normal 15 2 2 2 2 4 3" xfId="817" xr:uid="{00000000-0005-0000-0000-000029190000}"/>
    <cellStyle name="Normal 15 2 2 2 2 4 3 2" xfId="1503" xr:uid="{00000000-0005-0000-0000-00002A190000}"/>
    <cellStyle name="Normal 15 2 2 2 2 4 3 2 2" xfId="2429" xr:uid="{00000000-0005-0000-0000-00002B190000}"/>
    <cellStyle name="Normal 15 2 2 2 2 4 3 2 2 2" xfId="5776" xr:uid="{00000000-0005-0000-0000-00002C190000}"/>
    <cellStyle name="Normal 15 2 2 2 2 4 3 2 2 2 2" xfId="11090" xr:uid="{00000000-0005-0000-0000-00002D190000}"/>
    <cellStyle name="Normal 15 2 2 2 2 4 3 2 2 3" xfId="8432" xr:uid="{00000000-0005-0000-0000-00002E190000}"/>
    <cellStyle name="Normal 15 2 2 2 2 4 3 2 3" xfId="3350" xr:uid="{00000000-0005-0000-0000-00002F190000}"/>
    <cellStyle name="Normal 15 2 2 2 2 4 3 2 3 2" xfId="6653" xr:uid="{00000000-0005-0000-0000-000030190000}"/>
    <cellStyle name="Normal 15 2 2 2 2 4 3 2 3 2 2" xfId="11967" xr:uid="{00000000-0005-0000-0000-000031190000}"/>
    <cellStyle name="Normal 15 2 2 2 2 4 3 2 3 3" xfId="9309" xr:uid="{00000000-0005-0000-0000-000032190000}"/>
    <cellStyle name="Normal 15 2 2 2 2 4 3 2 4" xfId="4895" xr:uid="{00000000-0005-0000-0000-000033190000}"/>
    <cellStyle name="Normal 15 2 2 2 2 4 3 2 4 2" xfId="10213" xr:uid="{00000000-0005-0000-0000-000034190000}"/>
    <cellStyle name="Normal 15 2 2 2 2 4 3 2 5" xfId="7555" xr:uid="{00000000-0005-0000-0000-000035190000}"/>
    <cellStyle name="Normal 15 2 2 2 2 4 3 3" xfId="1992" xr:uid="{00000000-0005-0000-0000-000036190000}"/>
    <cellStyle name="Normal 15 2 2 2 2 4 3 3 2" xfId="5340" xr:uid="{00000000-0005-0000-0000-000037190000}"/>
    <cellStyle name="Normal 15 2 2 2 2 4 3 3 2 2" xfId="10654" xr:uid="{00000000-0005-0000-0000-000038190000}"/>
    <cellStyle name="Normal 15 2 2 2 2 4 3 3 3" xfId="7996" xr:uid="{00000000-0005-0000-0000-000039190000}"/>
    <cellStyle name="Normal 15 2 2 2 2 4 3 4" xfId="2913" xr:uid="{00000000-0005-0000-0000-00003A190000}"/>
    <cellStyle name="Normal 15 2 2 2 2 4 3 4 2" xfId="6217" xr:uid="{00000000-0005-0000-0000-00003B190000}"/>
    <cellStyle name="Normal 15 2 2 2 2 4 3 4 2 2" xfId="11531" xr:uid="{00000000-0005-0000-0000-00003C190000}"/>
    <cellStyle name="Normal 15 2 2 2 2 4 3 4 3" xfId="8873" xr:uid="{00000000-0005-0000-0000-00003D190000}"/>
    <cellStyle name="Normal 15 2 2 2 2 4 3 5" xfId="4210" xr:uid="{00000000-0005-0000-0000-00003E190000}"/>
    <cellStyle name="Normal 15 2 2 2 2 4 3 5 2" xfId="9777" xr:uid="{00000000-0005-0000-0000-00003F190000}"/>
    <cellStyle name="Normal 15 2 2 2 2 4 3 6" xfId="7119" xr:uid="{00000000-0005-0000-0000-000040190000}"/>
    <cellStyle name="Normal 15 2 2 2 2 4 4" xfId="787" xr:uid="{00000000-0005-0000-0000-000041190000}"/>
    <cellStyle name="Normal 15 2 2 2 2 4 4 2" xfId="1474" xr:uid="{00000000-0005-0000-0000-000042190000}"/>
    <cellStyle name="Normal 15 2 2 2 2 4 4 2 2" xfId="2402" xr:uid="{00000000-0005-0000-0000-000043190000}"/>
    <cellStyle name="Normal 15 2 2 2 2 4 4 2 2 2" xfId="5749" xr:uid="{00000000-0005-0000-0000-000044190000}"/>
    <cellStyle name="Normal 15 2 2 2 2 4 4 2 2 2 2" xfId="11063" xr:uid="{00000000-0005-0000-0000-000045190000}"/>
    <cellStyle name="Normal 15 2 2 2 2 4 4 2 2 3" xfId="8405" xr:uid="{00000000-0005-0000-0000-000046190000}"/>
    <cellStyle name="Normal 15 2 2 2 2 4 4 2 3" xfId="3323" xr:uid="{00000000-0005-0000-0000-000047190000}"/>
    <cellStyle name="Normal 15 2 2 2 2 4 4 2 3 2" xfId="6626" xr:uid="{00000000-0005-0000-0000-000048190000}"/>
    <cellStyle name="Normal 15 2 2 2 2 4 4 2 3 2 2" xfId="11940" xr:uid="{00000000-0005-0000-0000-000049190000}"/>
    <cellStyle name="Normal 15 2 2 2 2 4 4 2 3 3" xfId="9282" xr:uid="{00000000-0005-0000-0000-00004A190000}"/>
    <cellStyle name="Normal 15 2 2 2 2 4 4 2 4" xfId="4866" xr:uid="{00000000-0005-0000-0000-00004B190000}"/>
    <cellStyle name="Normal 15 2 2 2 2 4 4 2 4 2" xfId="10186" xr:uid="{00000000-0005-0000-0000-00004C190000}"/>
    <cellStyle name="Normal 15 2 2 2 2 4 4 2 5" xfId="7528" xr:uid="{00000000-0005-0000-0000-00004D190000}"/>
    <cellStyle name="Normal 15 2 2 2 2 4 4 3" xfId="1964" xr:uid="{00000000-0005-0000-0000-00004E190000}"/>
    <cellStyle name="Normal 15 2 2 2 2 4 4 3 2" xfId="5313" xr:uid="{00000000-0005-0000-0000-00004F190000}"/>
    <cellStyle name="Normal 15 2 2 2 2 4 4 3 2 2" xfId="10627" xr:uid="{00000000-0005-0000-0000-000050190000}"/>
    <cellStyle name="Normal 15 2 2 2 2 4 4 3 3" xfId="7969" xr:uid="{00000000-0005-0000-0000-000051190000}"/>
    <cellStyle name="Normal 15 2 2 2 2 4 4 4" xfId="2885" xr:uid="{00000000-0005-0000-0000-000052190000}"/>
    <cellStyle name="Normal 15 2 2 2 2 4 4 4 2" xfId="6190" xr:uid="{00000000-0005-0000-0000-000053190000}"/>
    <cellStyle name="Normal 15 2 2 2 2 4 4 4 2 2" xfId="11504" xr:uid="{00000000-0005-0000-0000-000054190000}"/>
    <cellStyle name="Normal 15 2 2 2 2 4 4 4 3" xfId="8846" xr:uid="{00000000-0005-0000-0000-000055190000}"/>
    <cellStyle name="Normal 15 2 2 2 2 4 4 5" xfId="4181" xr:uid="{00000000-0005-0000-0000-000056190000}"/>
    <cellStyle name="Normal 15 2 2 2 2 4 4 5 2" xfId="9750" xr:uid="{00000000-0005-0000-0000-000057190000}"/>
    <cellStyle name="Normal 15 2 2 2 2 4 4 6" xfId="7092" xr:uid="{00000000-0005-0000-0000-000058190000}"/>
    <cellStyle name="Normal 15 2 2 2 2 4 5" xfId="1152" xr:uid="{00000000-0005-0000-0000-000059190000}"/>
    <cellStyle name="Normal 15 2 2 2 2 4 5 2" xfId="2202" xr:uid="{00000000-0005-0000-0000-00005A190000}"/>
    <cellStyle name="Normal 15 2 2 2 2 4 5 2 2" xfId="5549" xr:uid="{00000000-0005-0000-0000-00005B190000}"/>
    <cellStyle name="Normal 15 2 2 2 2 4 5 2 2 2" xfId="10863" xr:uid="{00000000-0005-0000-0000-00005C190000}"/>
    <cellStyle name="Normal 15 2 2 2 2 4 5 2 3" xfId="8205" xr:uid="{00000000-0005-0000-0000-00005D190000}"/>
    <cellStyle name="Normal 15 2 2 2 2 4 5 3" xfId="3123" xr:uid="{00000000-0005-0000-0000-00005E190000}"/>
    <cellStyle name="Normal 15 2 2 2 2 4 5 3 2" xfId="6426" xr:uid="{00000000-0005-0000-0000-00005F190000}"/>
    <cellStyle name="Normal 15 2 2 2 2 4 5 3 2 2" xfId="11740" xr:uid="{00000000-0005-0000-0000-000060190000}"/>
    <cellStyle name="Normal 15 2 2 2 2 4 5 3 3" xfId="9082" xr:uid="{00000000-0005-0000-0000-000061190000}"/>
    <cellStyle name="Normal 15 2 2 2 2 4 5 4" xfId="4544" xr:uid="{00000000-0005-0000-0000-000062190000}"/>
    <cellStyle name="Normal 15 2 2 2 2 4 5 4 2" xfId="9986" xr:uid="{00000000-0005-0000-0000-000063190000}"/>
    <cellStyle name="Normal 15 2 2 2 2 4 5 5" xfId="7328" xr:uid="{00000000-0005-0000-0000-000064190000}"/>
    <cellStyle name="Normal 15 2 2 2 2 4 6" xfId="1764" xr:uid="{00000000-0005-0000-0000-000065190000}"/>
    <cellStyle name="Normal 15 2 2 2 2 4 6 2" xfId="5113" xr:uid="{00000000-0005-0000-0000-000066190000}"/>
    <cellStyle name="Normal 15 2 2 2 2 4 6 2 2" xfId="10427" xr:uid="{00000000-0005-0000-0000-000067190000}"/>
    <cellStyle name="Normal 15 2 2 2 2 4 6 3" xfId="7769" xr:uid="{00000000-0005-0000-0000-000068190000}"/>
    <cellStyle name="Normal 15 2 2 2 2 4 7" xfId="2685" xr:uid="{00000000-0005-0000-0000-000069190000}"/>
    <cellStyle name="Normal 15 2 2 2 2 4 7 2" xfId="5990" xr:uid="{00000000-0005-0000-0000-00006A190000}"/>
    <cellStyle name="Normal 15 2 2 2 2 4 7 2 2" xfId="11304" xr:uid="{00000000-0005-0000-0000-00006B190000}"/>
    <cellStyle name="Normal 15 2 2 2 2 4 7 3" xfId="8646" xr:uid="{00000000-0005-0000-0000-00006C190000}"/>
    <cellStyle name="Normal 15 2 2 2 2 4 8" xfId="3859" xr:uid="{00000000-0005-0000-0000-00006D190000}"/>
    <cellStyle name="Normal 15 2 2 2 2 4 8 2" xfId="9550" xr:uid="{00000000-0005-0000-0000-00006E190000}"/>
    <cellStyle name="Normal 15 2 2 2 2 4 9" xfId="6892" xr:uid="{00000000-0005-0000-0000-00006F190000}"/>
    <cellStyle name="Normal 15 2 2 2 2 5" xfId="621" xr:uid="{00000000-0005-0000-0000-000070190000}"/>
    <cellStyle name="Normal 15 2 2 2 2 5 2" xfId="1308" xr:uid="{00000000-0005-0000-0000-000071190000}"/>
    <cellStyle name="Normal 15 2 2 2 2 5 2 2" xfId="2298" xr:uid="{00000000-0005-0000-0000-000072190000}"/>
    <cellStyle name="Normal 15 2 2 2 2 5 2 2 2" xfId="5645" xr:uid="{00000000-0005-0000-0000-000073190000}"/>
    <cellStyle name="Normal 15 2 2 2 2 5 2 2 2 2" xfId="10959" xr:uid="{00000000-0005-0000-0000-000074190000}"/>
    <cellStyle name="Normal 15 2 2 2 2 5 2 2 3" xfId="8301" xr:uid="{00000000-0005-0000-0000-000075190000}"/>
    <cellStyle name="Normal 15 2 2 2 2 5 2 3" xfId="3219" xr:uid="{00000000-0005-0000-0000-000076190000}"/>
    <cellStyle name="Normal 15 2 2 2 2 5 2 3 2" xfId="6522" xr:uid="{00000000-0005-0000-0000-000077190000}"/>
    <cellStyle name="Normal 15 2 2 2 2 5 2 3 2 2" xfId="11836" xr:uid="{00000000-0005-0000-0000-000078190000}"/>
    <cellStyle name="Normal 15 2 2 2 2 5 2 3 3" xfId="9178" xr:uid="{00000000-0005-0000-0000-000079190000}"/>
    <cellStyle name="Normal 15 2 2 2 2 5 2 4" xfId="4700" xr:uid="{00000000-0005-0000-0000-00007A190000}"/>
    <cellStyle name="Normal 15 2 2 2 2 5 2 4 2" xfId="10082" xr:uid="{00000000-0005-0000-0000-00007B190000}"/>
    <cellStyle name="Normal 15 2 2 2 2 5 2 5" xfId="7424" xr:uid="{00000000-0005-0000-0000-00007C190000}"/>
    <cellStyle name="Normal 15 2 2 2 2 5 3" xfId="1860" xr:uid="{00000000-0005-0000-0000-00007D190000}"/>
    <cellStyle name="Normal 15 2 2 2 2 5 3 2" xfId="5209" xr:uid="{00000000-0005-0000-0000-00007E190000}"/>
    <cellStyle name="Normal 15 2 2 2 2 5 3 2 2" xfId="10523" xr:uid="{00000000-0005-0000-0000-00007F190000}"/>
    <cellStyle name="Normal 15 2 2 2 2 5 3 3" xfId="7865" xr:uid="{00000000-0005-0000-0000-000080190000}"/>
    <cellStyle name="Normal 15 2 2 2 2 5 4" xfId="2781" xr:uid="{00000000-0005-0000-0000-000081190000}"/>
    <cellStyle name="Normal 15 2 2 2 2 5 4 2" xfId="6086" xr:uid="{00000000-0005-0000-0000-000082190000}"/>
    <cellStyle name="Normal 15 2 2 2 2 5 4 2 2" xfId="11400" xr:uid="{00000000-0005-0000-0000-000083190000}"/>
    <cellStyle name="Normal 15 2 2 2 2 5 4 3" xfId="8742" xr:uid="{00000000-0005-0000-0000-000084190000}"/>
    <cellStyle name="Normal 15 2 2 2 2 5 5" xfId="4015" xr:uid="{00000000-0005-0000-0000-000085190000}"/>
    <cellStyle name="Normal 15 2 2 2 2 5 5 2" xfId="9646" xr:uid="{00000000-0005-0000-0000-000086190000}"/>
    <cellStyle name="Normal 15 2 2 2 2 5 6" xfId="6988" xr:uid="{00000000-0005-0000-0000-000087190000}"/>
    <cellStyle name="Normal 15 2 2 2 2 6" xfId="986" xr:uid="{00000000-0005-0000-0000-000088190000}"/>
    <cellStyle name="Normal 15 2 2 2 2 6 2" xfId="2098" xr:uid="{00000000-0005-0000-0000-000089190000}"/>
    <cellStyle name="Normal 15 2 2 2 2 6 2 2" xfId="5445" xr:uid="{00000000-0005-0000-0000-00008A190000}"/>
    <cellStyle name="Normal 15 2 2 2 2 6 2 2 2" xfId="10759" xr:uid="{00000000-0005-0000-0000-00008B190000}"/>
    <cellStyle name="Normal 15 2 2 2 2 6 2 3" xfId="8101" xr:uid="{00000000-0005-0000-0000-00008C190000}"/>
    <cellStyle name="Normal 15 2 2 2 2 6 3" xfId="3019" xr:uid="{00000000-0005-0000-0000-00008D190000}"/>
    <cellStyle name="Normal 15 2 2 2 2 6 3 2" xfId="6322" xr:uid="{00000000-0005-0000-0000-00008E190000}"/>
    <cellStyle name="Normal 15 2 2 2 2 6 3 2 2" xfId="11636" xr:uid="{00000000-0005-0000-0000-00008F190000}"/>
    <cellStyle name="Normal 15 2 2 2 2 6 3 3" xfId="8978" xr:uid="{00000000-0005-0000-0000-000090190000}"/>
    <cellStyle name="Normal 15 2 2 2 2 6 4" xfId="4378" xr:uid="{00000000-0005-0000-0000-000091190000}"/>
    <cellStyle name="Normal 15 2 2 2 2 6 4 2" xfId="9882" xr:uid="{00000000-0005-0000-0000-000092190000}"/>
    <cellStyle name="Normal 15 2 2 2 2 6 5" xfId="7224" xr:uid="{00000000-0005-0000-0000-000093190000}"/>
    <cellStyle name="Normal 15 2 2 2 2 7" xfId="1660" xr:uid="{00000000-0005-0000-0000-000094190000}"/>
    <cellStyle name="Normal 15 2 2 2 2 7 2" xfId="5009" xr:uid="{00000000-0005-0000-0000-000095190000}"/>
    <cellStyle name="Normal 15 2 2 2 2 7 2 2" xfId="10323" xr:uid="{00000000-0005-0000-0000-000096190000}"/>
    <cellStyle name="Normal 15 2 2 2 2 7 3" xfId="7665" xr:uid="{00000000-0005-0000-0000-000097190000}"/>
    <cellStyle name="Normal 15 2 2 2 2 8" xfId="2581" xr:uid="{00000000-0005-0000-0000-000098190000}"/>
    <cellStyle name="Normal 15 2 2 2 2 8 2" xfId="5886" xr:uid="{00000000-0005-0000-0000-000099190000}"/>
    <cellStyle name="Normal 15 2 2 2 2 8 2 2" xfId="11200" xr:uid="{00000000-0005-0000-0000-00009A190000}"/>
    <cellStyle name="Normal 15 2 2 2 2 8 3" xfId="8542" xr:uid="{00000000-0005-0000-0000-00009B190000}"/>
    <cellStyle name="Normal 15 2 2 2 2 9" xfId="3693" xr:uid="{00000000-0005-0000-0000-00009C190000}"/>
    <cellStyle name="Normal 15 2 2 2 2 9 2" xfId="9446" xr:uid="{00000000-0005-0000-0000-00009D190000}"/>
    <cellStyle name="Normal 15 2 2 2 3" xfId="305" xr:uid="{00000000-0005-0000-0000-00009E190000}"/>
    <cellStyle name="Normal 15 2 2 2 3 2" xfId="463" xr:uid="{00000000-0005-0000-0000-00009F190000}"/>
    <cellStyle name="Normal 15 2 2 2 3 2 2" xfId="475" xr:uid="{00000000-0005-0000-0000-0000A0190000}"/>
    <cellStyle name="Normal 15 2 2 2 3 2 2 2" xfId="813" xr:uid="{00000000-0005-0000-0000-0000A1190000}"/>
    <cellStyle name="Normal 15 2 2 2 3 2 2 2 2" xfId="1499" xr:uid="{00000000-0005-0000-0000-0000A2190000}"/>
    <cellStyle name="Normal 15 2 2 2 3 2 2 2 2 2" xfId="2425" xr:uid="{00000000-0005-0000-0000-0000A3190000}"/>
    <cellStyle name="Normal 15 2 2 2 3 2 2 2 2 2 2" xfId="5772" xr:uid="{00000000-0005-0000-0000-0000A4190000}"/>
    <cellStyle name="Normal 15 2 2 2 3 2 2 2 2 2 2 2" xfId="11086" xr:uid="{00000000-0005-0000-0000-0000A5190000}"/>
    <cellStyle name="Normal 15 2 2 2 3 2 2 2 2 2 3" xfId="8428" xr:uid="{00000000-0005-0000-0000-0000A6190000}"/>
    <cellStyle name="Normal 15 2 2 2 3 2 2 2 2 3" xfId="3346" xr:uid="{00000000-0005-0000-0000-0000A7190000}"/>
    <cellStyle name="Normal 15 2 2 2 3 2 2 2 2 3 2" xfId="6649" xr:uid="{00000000-0005-0000-0000-0000A8190000}"/>
    <cellStyle name="Normal 15 2 2 2 3 2 2 2 2 3 2 2" xfId="11963" xr:uid="{00000000-0005-0000-0000-0000A9190000}"/>
    <cellStyle name="Normal 15 2 2 2 3 2 2 2 2 3 3" xfId="9305" xr:uid="{00000000-0005-0000-0000-0000AA190000}"/>
    <cellStyle name="Normal 15 2 2 2 3 2 2 2 2 4" xfId="4891" xr:uid="{00000000-0005-0000-0000-0000AB190000}"/>
    <cellStyle name="Normal 15 2 2 2 3 2 2 2 2 4 2" xfId="10209" xr:uid="{00000000-0005-0000-0000-0000AC190000}"/>
    <cellStyle name="Normal 15 2 2 2 3 2 2 2 2 5" xfId="7551" xr:uid="{00000000-0005-0000-0000-0000AD190000}"/>
    <cellStyle name="Normal 15 2 2 2 3 2 2 2 3" xfId="1988" xr:uid="{00000000-0005-0000-0000-0000AE190000}"/>
    <cellStyle name="Normal 15 2 2 2 3 2 2 2 3 2" xfId="5336" xr:uid="{00000000-0005-0000-0000-0000AF190000}"/>
    <cellStyle name="Normal 15 2 2 2 3 2 2 2 3 2 2" xfId="10650" xr:uid="{00000000-0005-0000-0000-0000B0190000}"/>
    <cellStyle name="Normal 15 2 2 2 3 2 2 2 3 3" xfId="7992" xr:uid="{00000000-0005-0000-0000-0000B1190000}"/>
    <cellStyle name="Normal 15 2 2 2 3 2 2 2 4" xfId="2909" xr:uid="{00000000-0005-0000-0000-0000B2190000}"/>
    <cellStyle name="Normal 15 2 2 2 3 2 2 2 4 2" xfId="6213" xr:uid="{00000000-0005-0000-0000-0000B3190000}"/>
    <cellStyle name="Normal 15 2 2 2 3 2 2 2 4 2 2" xfId="11527" xr:uid="{00000000-0005-0000-0000-0000B4190000}"/>
    <cellStyle name="Normal 15 2 2 2 3 2 2 2 4 3" xfId="8869" xr:uid="{00000000-0005-0000-0000-0000B5190000}"/>
    <cellStyle name="Normal 15 2 2 2 3 2 2 2 5" xfId="4206" xr:uid="{00000000-0005-0000-0000-0000B6190000}"/>
    <cellStyle name="Normal 15 2 2 2 3 2 2 2 5 2" xfId="9773" xr:uid="{00000000-0005-0000-0000-0000B7190000}"/>
    <cellStyle name="Normal 15 2 2 2 3 2 2 2 6" xfId="7115" xr:uid="{00000000-0005-0000-0000-0000B8190000}"/>
    <cellStyle name="Normal 15 2 2 2 3 2 2 3" xfId="837" xr:uid="{00000000-0005-0000-0000-0000B9190000}"/>
    <cellStyle name="Normal 15 2 2 2 3 2 2 3 2" xfId="1522" xr:uid="{00000000-0005-0000-0000-0000BA190000}"/>
    <cellStyle name="Normal 15 2 2 2 3 2 2 3 2 2" xfId="2444" xr:uid="{00000000-0005-0000-0000-0000BB190000}"/>
    <cellStyle name="Normal 15 2 2 2 3 2 2 3 2 2 2" xfId="5791" xr:uid="{00000000-0005-0000-0000-0000BC190000}"/>
    <cellStyle name="Normal 15 2 2 2 3 2 2 3 2 2 2 2" xfId="11105" xr:uid="{00000000-0005-0000-0000-0000BD190000}"/>
    <cellStyle name="Normal 15 2 2 2 3 2 2 3 2 2 3" xfId="8447" xr:uid="{00000000-0005-0000-0000-0000BE190000}"/>
    <cellStyle name="Normal 15 2 2 2 3 2 2 3 2 3" xfId="3365" xr:uid="{00000000-0005-0000-0000-0000BF190000}"/>
    <cellStyle name="Normal 15 2 2 2 3 2 2 3 2 3 2" xfId="6668" xr:uid="{00000000-0005-0000-0000-0000C0190000}"/>
    <cellStyle name="Normal 15 2 2 2 3 2 2 3 2 3 2 2" xfId="11982" xr:uid="{00000000-0005-0000-0000-0000C1190000}"/>
    <cellStyle name="Normal 15 2 2 2 3 2 2 3 2 3 3" xfId="9324" xr:uid="{00000000-0005-0000-0000-0000C2190000}"/>
    <cellStyle name="Normal 15 2 2 2 3 2 2 3 2 4" xfId="4914" xr:uid="{00000000-0005-0000-0000-0000C3190000}"/>
    <cellStyle name="Normal 15 2 2 2 3 2 2 3 2 4 2" xfId="10228" xr:uid="{00000000-0005-0000-0000-0000C4190000}"/>
    <cellStyle name="Normal 15 2 2 2 3 2 2 3 2 5" xfId="7570" xr:uid="{00000000-0005-0000-0000-0000C5190000}"/>
    <cellStyle name="Normal 15 2 2 2 3 2 2 3 3" xfId="2008" xr:uid="{00000000-0005-0000-0000-0000C6190000}"/>
    <cellStyle name="Normal 15 2 2 2 3 2 2 3 3 2" xfId="5355" xr:uid="{00000000-0005-0000-0000-0000C7190000}"/>
    <cellStyle name="Normal 15 2 2 2 3 2 2 3 3 2 2" xfId="10669" xr:uid="{00000000-0005-0000-0000-0000C8190000}"/>
    <cellStyle name="Normal 15 2 2 2 3 2 2 3 3 3" xfId="8011" xr:uid="{00000000-0005-0000-0000-0000C9190000}"/>
    <cellStyle name="Normal 15 2 2 2 3 2 2 3 4" xfId="2929" xr:uid="{00000000-0005-0000-0000-0000CA190000}"/>
    <cellStyle name="Normal 15 2 2 2 3 2 2 3 4 2" xfId="6232" xr:uid="{00000000-0005-0000-0000-0000CB190000}"/>
    <cellStyle name="Normal 15 2 2 2 3 2 2 3 4 2 2" xfId="11546" xr:uid="{00000000-0005-0000-0000-0000CC190000}"/>
    <cellStyle name="Normal 15 2 2 2 3 2 2 3 4 3" xfId="8888" xr:uid="{00000000-0005-0000-0000-0000CD190000}"/>
    <cellStyle name="Normal 15 2 2 2 3 2 2 3 5" xfId="4229" xr:uid="{00000000-0005-0000-0000-0000CE190000}"/>
    <cellStyle name="Normal 15 2 2 2 3 2 2 3 5 2" xfId="9792" xr:uid="{00000000-0005-0000-0000-0000CF190000}"/>
    <cellStyle name="Normal 15 2 2 2 3 2 2 3 6" xfId="7134" xr:uid="{00000000-0005-0000-0000-0000D0190000}"/>
    <cellStyle name="Normal 15 2 2 2 3 2 2 4" xfId="797" xr:uid="{00000000-0005-0000-0000-0000D1190000}"/>
    <cellStyle name="Normal 15 2 2 2 3 2 2 4 2" xfId="1484" xr:uid="{00000000-0005-0000-0000-0000D2190000}"/>
    <cellStyle name="Normal 15 2 2 2 3 2 2 4 2 2" xfId="2412" xr:uid="{00000000-0005-0000-0000-0000D3190000}"/>
    <cellStyle name="Normal 15 2 2 2 3 2 2 4 2 2 2" xfId="5759" xr:uid="{00000000-0005-0000-0000-0000D4190000}"/>
    <cellStyle name="Normal 15 2 2 2 3 2 2 4 2 2 2 2" xfId="11073" xr:uid="{00000000-0005-0000-0000-0000D5190000}"/>
    <cellStyle name="Normal 15 2 2 2 3 2 2 4 2 2 3" xfId="8415" xr:uid="{00000000-0005-0000-0000-0000D6190000}"/>
    <cellStyle name="Normal 15 2 2 2 3 2 2 4 2 3" xfId="3333" xr:uid="{00000000-0005-0000-0000-0000D7190000}"/>
    <cellStyle name="Normal 15 2 2 2 3 2 2 4 2 3 2" xfId="6636" xr:uid="{00000000-0005-0000-0000-0000D8190000}"/>
    <cellStyle name="Normal 15 2 2 2 3 2 2 4 2 3 2 2" xfId="11950" xr:uid="{00000000-0005-0000-0000-0000D9190000}"/>
    <cellStyle name="Normal 15 2 2 2 3 2 2 4 2 3 3" xfId="9292" xr:uid="{00000000-0005-0000-0000-0000DA190000}"/>
    <cellStyle name="Normal 15 2 2 2 3 2 2 4 2 4" xfId="4876" xr:uid="{00000000-0005-0000-0000-0000DB190000}"/>
    <cellStyle name="Normal 15 2 2 2 3 2 2 4 2 4 2" xfId="10196" xr:uid="{00000000-0005-0000-0000-0000DC190000}"/>
    <cellStyle name="Normal 15 2 2 2 3 2 2 4 2 5" xfId="7538" xr:uid="{00000000-0005-0000-0000-0000DD190000}"/>
    <cellStyle name="Normal 15 2 2 2 3 2 2 4 3" xfId="1974" xr:uid="{00000000-0005-0000-0000-0000DE190000}"/>
    <cellStyle name="Normal 15 2 2 2 3 2 2 4 3 2" xfId="5323" xr:uid="{00000000-0005-0000-0000-0000DF190000}"/>
    <cellStyle name="Normal 15 2 2 2 3 2 2 4 3 2 2" xfId="10637" xr:uid="{00000000-0005-0000-0000-0000E0190000}"/>
    <cellStyle name="Normal 15 2 2 2 3 2 2 4 3 3" xfId="7979" xr:uid="{00000000-0005-0000-0000-0000E1190000}"/>
    <cellStyle name="Normal 15 2 2 2 3 2 2 4 4" xfId="2895" xr:uid="{00000000-0005-0000-0000-0000E2190000}"/>
    <cellStyle name="Normal 15 2 2 2 3 2 2 4 4 2" xfId="6200" xr:uid="{00000000-0005-0000-0000-0000E3190000}"/>
    <cellStyle name="Normal 15 2 2 2 3 2 2 4 4 2 2" xfId="11514" xr:uid="{00000000-0005-0000-0000-0000E4190000}"/>
    <cellStyle name="Normal 15 2 2 2 3 2 2 4 4 3" xfId="8856" xr:uid="{00000000-0005-0000-0000-0000E5190000}"/>
    <cellStyle name="Normal 15 2 2 2 3 2 2 4 5" xfId="4191" xr:uid="{00000000-0005-0000-0000-0000E6190000}"/>
    <cellStyle name="Normal 15 2 2 2 3 2 2 4 5 2" xfId="9760" xr:uid="{00000000-0005-0000-0000-0000E7190000}"/>
    <cellStyle name="Normal 15 2 2 2 3 2 2 4 6" xfId="7102" xr:uid="{00000000-0005-0000-0000-0000E8190000}"/>
    <cellStyle name="Normal 15 2 2 2 3 2 2 5" xfId="1162" xr:uid="{00000000-0005-0000-0000-0000E9190000}"/>
    <cellStyle name="Normal 15 2 2 2 3 2 2 5 2" xfId="2212" xr:uid="{00000000-0005-0000-0000-0000EA190000}"/>
    <cellStyle name="Normal 15 2 2 2 3 2 2 5 2 2" xfId="5559" xr:uid="{00000000-0005-0000-0000-0000EB190000}"/>
    <cellStyle name="Normal 15 2 2 2 3 2 2 5 2 2 2" xfId="10873" xr:uid="{00000000-0005-0000-0000-0000EC190000}"/>
    <cellStyle name="Normal 15 2 2 2 3 2 2 5 2 3" xfId="8215" xr:uid="{00000000-0005-0000-0000-0000ED190000}"/>
    <cellStyle name="Normal 15 2 2 2 3 2 2 5 3" xfId="3133" xr:uid="{00000000-0005-0000-0000-0000EE190000}"/>
    <cellStyle name="Normal 15 2 2 2 3 2 2 5 3 2" xfId="6436" xr:uid="{00000000-0005-0000-0000-0000EF190000}"/>
    <cellStyle name="Normal 15 2 2 2 3 2 2 5 3 2 2" xfId="11750" xr:uid="{00000000-0005-0000-0000-0000F0190000}"/>
    <cellStyle name="Normal 15 2 2 2 3 2 2 5 3 3" xfId="9092" xr:uid="{00000000-0005-0000-0000-0000F1190000}"/>
    <cellStyle name="Normal 15 2 2 2 3 2 2 5 4" xfId="4554" xr:uid="{00000000-0005-0000-0000-0000F2190000}"/>
    <cellStyle name="Normal 15 2 2 2 3 2 2 5 4 2" xfId="9996" xr:uid="{00000000-0005-0000-0000-0000F3190000}"/>
    <cellStyle name="Normal 15 2 2 2 3 2 2 5 5" xfId="7338" xr:uid="{00000000-0005-0000-0000-0000F4190000}"/>
    <cellStyle name="Normal 15 2 2 2 3 2 2 6" xfId="1774" xr:uid="{00000000-0005-0000-0000-0000F5190000}"/>
    <cellStyle name="Normal 15 2 2 2 3 2 2 6 2" xfId="5123" xr:uid="{00000000-0005-0000-0000-0000F6190000}"/>
    <cellStyle name="Normal 15 2 2 2 3 2 2 6 2 2" xfId="10437" xr:uid="{00000000-0005-0000-0000-0000F7190000}"/>
    <cellStyle name="Normal 15 2 2 2 3 2 2 6 3" xfId="7779" xr:uid="{00000000-0005-0000-0000-0000F8190000}"/>
    <cellStyle name="Normal 15 2 2 2 3 2 2 7" xfId="2695" xr:uid="{00000000-0005-0000-0000-0000F9190000}"/>
    <cellStyle name="Normal 15 2 2 2 3 2 2 7 2" xfId="6000" xr:uid="{00000000-0005-0000-0000-0000FA190000}"/>
    <cellStyle name="Normal 15 2 2 2 3 2 2 7 2 2" xfId="11314" xr:uid="{00000000-0005-0000-0000-0000FB190000}"/>
    <cellStyle name="Normal 15 2 2 2 3 2 2 7 3" xfId="8656" xr:uid="{00000000-0005-0000-0000-0000FC190000}"/>
    <cellStyle name="Normal 15 2 2 2 3 2 2 8" xfId="3869" xr:uid="{00000000-0005-0000-0000-0000FD190000}"/>
    <cellStyle name="Normal 15 2 2 2 3 2 2 8 2" xfId="9560" xr:uid="{00000000-0005-0000-0000-0000FE190000}"/>
    <cellStyle name="Normal 15 2 2 2 3 2 2 9" xfId="6902" xr:uid="{00000000-0005-0000-0000-0000FF190000}"/>
    <cellStyle name="Normal 15 2 2 2 3 2 3" xfId="785" xr:uid="{00000000-0005-0000-0000-0000001A0000}"/>
    <cellStyle name="Normal 15 2 2 2 3 2 3 2" xfId="1472" xr:uid="{00000000-0005-0000-0000-0000011A0000}"/>
    <cellStyle name="Normal 15 2 2 2 3 2 3 2 2" xfId="2400" xr:uid="{00000000-0005-0000-0000-0000021A0000}"/>
    <cellStyle name="Normal 15 2 2 2 3 2 3 2 2 2" xfId="5747" xr:uid="{00000000-0005-0000-0000-0000031A0000}"/>
    <cellStyle name="Normal 15 2 2 2 3 2 3 2 2 2 2" xfId="11061" xr:uid="{00000000-0005-0000-0000-0000041A0000}"/>
    <cellStyle name="Normal 15 2 2 2 3 2 3 2 2 3" xfId="8403" xr:uid="{00000000-0005-0000-0000-0000051A0000}"/>
    <cellStyle name="Normal 15 2 2 2 3 2 3 2 3" xfId="3321" xr:uid="{00000000-0005-0000-0000-0000061A0000}"/>
    <cellStyle name="Normal 15 2 2 2 3 2 3 2 3 2" xfId="6624" xr:uid="{00000000-0005-0000-0000-0000071A0000}"/>
    <cellStyle name="Normal 15 2 2 2 3 2 3 2 3 2 2" xfId="11938" xr:uid="{00000000-0005-0000-0000-0000081A0000}"/>
    <cellStyle name="Normal 15 2 2 2 3 2 3 2 3 3" xfId="9280" xr:uid="{00000000-0005-0000-0000-0000091A0000}"/>
    <cellStyle name="Normal 15 2 2 2 3 2 3 2 4" xfId="4864" xr:uid="{00000000-0005-0000-0000-00000A1A0000}"/>
    <cellStyle name="Normal 15 2 2 2 3 2 3 2 4 2" xfId="10184" xr:uid="{00000000-0005-0000-0000-00000B1A0000}"/>
    <cellStyle name="Normal 15 2 2 2 3 2 3 2 5" xfId="7526" xr:uid="{00000000-0005-0000-0000-00000C1A0000}"/>
    <cellStyle name="Normal 15 2 2 2 3 2 3 3" xfId="1962" xr:uid="{00000000-0005-0000-0000-00000D1A0000}"/>
    <cellStyle name="Normal 15 2 2 2 3 2 3 3 2" xfId="5311" xr:uid="{00000000-0005-0000-0000-00000E1A0000}"/>
    <cellStyle name="Normal 15 2 2 2 3 2 3 3 2 2" xfId="10625" xr:uid="{00000000-0005-0000-0000-00000F1A0000}"/>
    <cellStyle name="Normal 15 2 2 2 3 2 3 3 3" xfId="7967" xr:uid="{00000000-0005-0000-0000-0000101A0000}"/>
    <cellStyle name="Normal 15 2 2 2 3 2 3 4" xfId="2883" xr:uid="{00000000-0005-0000-0000-0000111A0000}"/>
    <cellStyle name="Normal 15 2 2 2 3 2 3 4 2" xfId="6188" xr:uid="{00000000-0005-0000-0000-0000121A0000}"/>
    <cellStyle name="Normal 15 2 2 2 3 2 3 4 2 2" xfId="11502" xr:uid="{00000000-0005-0000-0000-0000131A0000}"/>
    <cellStyle name="Normal 15 2 2 2 3 2 3 4 3" xfId="8844" xr:uid="{00000000-0005-0000-0000-0000141A0000}"/>
    <cellStyle name="Normal 15 2 2 2 3 2 3 5" xfId="4179" xr:uid="{00000000-0005-0000-0000-0000151A0000}"/>
    <cellStyle name="Normal 15 2 2 2 3 2 3 5 2" xfId="9748" xr:uid="{00000000-0005-0000-0000-0000161A0000}"/>
    <cellStyle name="Normal 15 2 2 2 3 2 3 6" xfId="7090" xr:uid="{00000000-0005-0000-0000-0000171A0000}"/>
    <cellStyle name="Normal 15 2 2 2 3 2 4" xfId="1150" xr:uid="{00000000-0005-0000-0000-0000181A0000}"/>
    <cellStyle name="Normal 15 2 2 2 3 2 4 2" xfId="2200" xr:uid="{00000000-0005-0000-0000-0000191A0000}"/>
    <cellStyle name="Normal 15 2 2 2 3 2 4 2 2" xfId="5547" xr:uid="{00000000-0005-0000-0000-00001A1A0000}"/>
    <cellStyle name="Normal 15 2 2 2 3 2 4 2 2 2" xfId="10861" xr:uid="{00000000-0005-0000-0000-00001B1A0000}"/>
    <cellStyle name="Normal 15 2 2 2 3 2 4 2 3" xfId="8203" xr:uid="{00000000-0005-0000-0000-00001C1A0000}"/>
    <cellStyle name="Normal 15 2 2 2 3 2 4 3" xfId="3121" xr:uid="{00000000-0005-0000-0000-00001D1A0000}"/>
    <cellStyle name="Normal 15 2 2 2 3 2 4 3 2" xfId="6424" xr:uid="{00000000-0005-0000-0000-00001E1A0000}"/>
    <cellStyle name="Normal 15 2 2 2 3 2 4 3 2 2" xfId="11738" xr:uid="{00000000-0005-0000-0000-00001F1A0000}"/>
    <cellStyle name="Normal 15 2 2 2 3 2 4 3 3" xfId="9080" xr:uid="{00000000-0005-0000-0000-0000201A0000}"/>
    <cellStyle name="Normal 15 2 2 2 3 2 4 4" xfId="4542" xr:uid="{00000000-0005-0000-0000-0000211A0000}"/>
    <cellStyle name="Normal 15 2 2 2 3 2 4 4 2" xfId="9984" xr:uid="{00000000-0005-0000-0000-0000221A0000}"/>
    <cellStyle name="Normal 15 2 2 2 3 2 4 5" xfId="7326" xr:uid="{00000000-0005-0000-0000-0000231A0000}"/>
    <cellStyle name="Normal 15 2 2 2 3 2 5" xfId="1762" xr:uid="{00000000-0005-0000-0000-0000241A0000}"/>
    <cellStyle name="Normal 15 2 2 2 3 2 5 2" xfId="5111" xr:uid="{00000000-0005-0000-0000-0000251A0000}"/>
    <cellStyle name="Normal 15 2 2 2 3 2 5 2 2" xfId="10425" xr:uid="{00000000-0005-0000-0000-0000261A0000}"/>
    <cellStyle name="Normal 15 2 2 2 3 2 5 3" xfId="7767" xr:uid="{00000000-0005-0000-0000-0000271A0000}"/>
    <cellStyle name="Normal 15 2 2 2 3 2 6" xfId="2683" xr:uid="{00000000-0005-0000-0000-0000281A0000}"/>
    <cellStyle name="Normal 15 2 2 2 3 2 6 2" xfId="5988" xr:uid="{00000000-0005-0000-0000-0000291A0000}"/>
    <cellStyle name="Normal 15 2 2 2 3 2 6 2 2" xfId="11302" xr:uid="{00000000-0005-0000-0000-00002A1A0000}"/>
    <cellStyle name="Normal 15 2 2 2 3 2 6 3" xfId="8644" xr:uid="{00000000-0005-0000-0000-00002B1A0000}"/>
    <cellStyle name="Normal 15 2 2 2 3 2 7" xfId="3857" xr:uid="{00000000-0005-0000-0000-00002C1A0000}"/>
    <cellStyle name="Normal 15 2 2 2 3 2 7 2" xfId="9548" xr:uid="{00000000-0005-0000-0000-00002D1A0000}"/>
    <cellStyle name="Normal 15 2 2 2 3 2 8" xfId="6890" xr:uid="{00000000-0005-0000-0000-00002E1A0000}"/>
    <cellStyle name="Normal 15 2 2 2 3 3" xfId="628" xr:uid="{00000000-0005-0000-0000-00002F1A0000}"/>
    <cellStyle name="Normal 15 2 2 2 3 3 2" xfId="481" xr:uid="{00000000-0005-0000-0000-0000301A0000}"/>
    <cellStyle name="Normal 15 2 2 2 3 3 2 2" xfId="816" xr:uid="{00000000-0005-0000-0000-0000311A0000}"/>
    <cellStyle name="Normal 15 2 2 2 3 3 2 2 2" xfId="1502" xr:uid="{00000000-0005-0000-0000-0000321A0000}"/>
    <cellStyle name="Normal 15 2 2 2 3 3 2 2 2 2" xfId="2428" xr:uid="{00000000-0005-0000-0000-0000331A0000}"/>
    <cellStyle name="Normal 15 2 2 2 3 3 2 2 2 2 2" xfId="5775" xr:uid="{00000000-0005-0000-0000-0000341A0000}"/>
    <cellStyle name="Normal 15 2 2 2 3 3 2 2 2 2 2 2" xfId="11089" xr:uid="{00000000-0005-0000-0000-0000351A0000}"/>
    <cellStyle name="Normal 15 2 2 2 3 3 2 2 2 2 3" xfId="8431" xr:uid="{00000000-0005-0000-0000-0000361A0000}"/>
    <cellStyle name="Normal 15 2 2 2 3 3 2 2 2 3" xfId="3349" xr:uid="{00000000-0005-0000-0000-0000371A0000}"/>
    <cellStyle name="Normal 15 2 2 2 3 3 2 2 2 3 2" xfId="6652" xr:uid="{00000000-0005-0000-0000-0000381A0000}"/>
    <cellStyle name="Normal 15 2 2 2 3 3 2 2 2 3 2 2" xfId="11966" xr:uid="{00000000-0005-0000-0000-0000391A0000}"/>
    <cellStyle name="Normal 15 2 2 2 3 3 2 2 2 3 3" xfId="9308" xr:uid="{00000000-0005-0000-0000-00003A1A0000}"/>
    <cellStyle name="Normal 15 2 2 2 3 3 2 2 2 4" xfId="4894" xr:uid="{00000000-0005-0000-0000-00003B1A0000}"/>
    <cellStyle name="Normal 15 2 2 2 3 3 2 2 2 4 2" xfId="10212" xr:uid="{00000000-0005-0000-0000-00003C1A0000}"/>
    <cellStyle name="Normal 15 2 2 2 3 3 2 2 2 5" xfId="7554" xr:uid="{00000000-0005-0000-0000-00003D1A0000}"/>
    <cellStyle name="Normal 15 2 2 2 3 3 2 2 3" xfId="1991" xr:uid="{00000000-0005-0000-0000-00003E1A0000}"/>
    <cellStyle name="Normal 15 2 2 2 3 3 2 2 3 2" xfId="5339" xr:uid="{00000000-0005-0000-0000-00003F1A0000}"/>
    <cellStyle name="Normal 15 2 2 2 3 3 2 2 3 2 2" xfId="10653" xr:uid="{00000000-0005-0000-0000-0000401A0000}"/>
    <cellStyle name="Normal 15 2 2 2 3 3 2 2 3 3" xfId="7995" xr:uid="{00000000-0005-0000-0000-0000411A0000}"/>
    <cellStyle name="Normal 15 2 2 2 3 3 2 2 4" xfId="2912" xr:uid="{00000000-0005-0000-0000-0000421A0000}"/>
    <cellStyle name="Normal 15 2 2 2 3 3 2 2 4 2" xfId="6216" xr:uid="{00000000-0005-0000-0000-0000431A0000}"/>
    <cellStyle name="Normal 15 2 2 2 3 3 2 2 4 2 2" xfId="11530" xr:uid="{00000000-0005-0000-0000-0000441A0000}"/>
    <cellStyle name="Normal 15 2 2 2 3 3 2 2 4 3" xfId="8872" xr:uid="{00000000-0005-0000-0000-0000451A0000}"/>
    <cellStyle name="Normal 15 2 2 2 3 3 2 2 5" xfId="4209" xr:uid="{00000000-0005-0000-0000-0000461A0000}"/>
    <cellStyle name="Normal 15 2 2 2 3 3 2 2 5 2" xfId="9776" xr:uid="{00000000-0005-0000-0000-0000471A0000}"/>
    <cellStyle name="Normal 15 2 2 2 3 3 2 2 6" xfId="7118" xr:uid="{00000000-0005-0000-0000-0000481A0000}"/>
    <cellStyle name="Normal 15 2 2 2 3 3 2 3" xfId="1168" xr:uid="{00000000-0005-0000-0000-0000491A0000}"/>
    <cellStyle name="Normal 15 2 2 2 3 3 2 3 2" xfId="2217" xr:uid="{00000000-0005-0000-0000-00004A1A0000}"/>
    <cellStyle name="Normal 15 2 2 2 3 3 2 3 2 2" xfId="5564" xr:uid="{00000000-0005-0000-0000-00004B1A0000}"/>
    <cellStyle name="Normal 15 2 2 2 3 3 2 3 2 2 2" xfId="10878" xr:uid="{00000000-0005-0000-0000-00004C1A0000}"/>
    <cellStyle name="Normal 15 2 2 2 3 3 2 3 2 3" xfId="8220" xr:uid="{00000000-0005-0000-0000-00004D1A0000}"/>
    <cellStyle name="Normal 15 2 2 2 3 3 2 3 3" xfId="3138" xr:uid="{00000000-0005-0000-0000-00004E1A0000}"/>
    <cellStyle name="Normal 15 2 2 2 3 3 2 3 3 2" xfId="6441" xr:uid="{00000000-0005-0000-0000-00004F1A0000}"/>
    <cellStyle name="Normal 15 2 2 2 3 3 2 3 3 2 2" xfId="11755" xr:uid="{00000000-0005-0000-0000-0000501A0000}"/>
    <cellStyle name="Normal 15 2 2 2 3 3 2 3 3 3" xfId="9097" xr:uid="{00000000-0005-0000-0000-0000511A0000}"/>
    <cellStyle name="Normal 15 2 2 2 3 3 2 3 4" xfId="4560" xr:uid="{00000000-0005-0000-0000-0000521A0000}"/>
    <cellStyle name="Normal 15 2 2 2 3 3 2 3 4 2" xfId="10001" xr:uid="{00000000-0005-0000-0000-0000531A0000}"/>
    <cellStyle name="Normal 15 2 2 2 3 3 2 3 5" xfId="7343" xr:uid="{00000000-0005-0000-0000-0000541A0000}"/>
    <cellStyle name="Normal 15 2 2 2 3 3 2 4" xfId="1779" xr:uid="{00000000-0005-0000-0000-0000551A0000}"/>
    <cellStyle name="Normal 15 2 2 2 3 3 2 4 2" xfId="5128" xr:uid="{00000000-0005-0000-0000-0000561A0000}"/>
    <cellStyle name="Normal 15 2 2 2 3 3 2 4 2 2" xfId="10442" xr:uid="{00000000-0005-0000-0000-0000571A0000}"/>
    <cellStyle name="Normal 15 2 2 2 3 3 2 4 3" xfId="7784" xr:uid="{00000000-0005-0000-0000-0000581A0000}"/>
    <cellStyle name="Normal 15 2 2 2 3 3 2 5" xfId="2700" xr:uid="{00000000-0005-0000-0000-0000591A0000}"/>
    <cellStyle name="Normal 15 2 2 2 3 3 2 5 2" xfId="6005" xr:uid="{00000000-0005-0000-0000-00005A1A0000}"/>
    <cellStyle name="Normal 15 2 2 2 3 3 2 5 2 2" xfId="11319" xr:uid="{00000000-0005-0000-0000-00005B1A0000}"/>
    <cellStyle name="Normal 15 2 2 2 3 3 2 5 3" xfId="8661" xr:uid="{00000000-0005-0000-0000-00005C1A0000}"/>
    <cellStyle name="Normal 15 2 2 2 3 3 2 6" xfId="3875" xr:uid="{00000000-0005-0000-0000-00005D1A0000}"/>
    <cellStyle name="Normal 15 2 2 2 3 3 2 6 2" xfId="9565" xr:uid="{00000000-0005-0000-0000-00005E1A0000}"/>
    <cellStyle name="Normal 15 2 2 2 3 3 2 7" xfId="6907" xr:uid="{00000000-0005-0000-0000-00005F1A0000}"/>
    <cellStyle name="Normal 15 2 2 2 3 3 3" xfId="1315" xr:uid="{00000000-0005-0000-0000-0000601A0000}"/>
    <cellStyle name="Normal 15 2 2 2 3 3 3 2" xfId="2305" xr:uid="{00000000-0005-0000-0000-0000611A0000}"/>
    <cellStyle name="Normal 15 2 2 2 3 3 3 2 2" xfId="5652" xr:uid="{00000000-0005-0000-0000-0000621A0000}"/>
    <cellStyle name="Normal 15 2 2 2 3 3 3 2 2 2" xfId="10966" xr:uid="{00000000-0005-0000-0000-0000631A0000}"/>
    <cellStyle name="Normal 15 2 2 2 3 3 3 2 3" xfId="8308" xr:uid="{00000000-0005-0000-0000-0000641A0000}"/>
    <cellStyle name="Normal 15 2 2 2 3 3 3 3" xfId="3226" xr:uid="{00000000-0005-0000-0000-0000651A0000}"/>
    <cellStyle name="Normal 15 2 2 2 3 3 3 3 2" xfId="6529" xr:uid="{00000000-0005-0000-0000-0000661A0000}"/>
    <cellStyle name="Normal 15 2 2 2 3 3 3 3 2 2" xfId="11843" xr:uid="{00000000-0005-0000-0000-0000671A0000}"/>
    <cellStyle name="Normal 15 2 2 2 3 3 3 3 3" xfId="9185" xr:uid="{00000000-0005-0000-0000-0000681A0000}"/>
    <cellStyle name="Normal 15 2 2 2 3 3 3 4" xfId="4707" xr:uid="{00000000-0005-0000-0000-0000691A0000}"/>
    <cellStyle name="Normal 15 2 2 2 3 3 3 4 2" xfId="10089" xr:uid="{00000000-0005-0000-0000-00006A1A0000}"/>
    <cellStyle name="Normal 15 2 2 2 3 3 3 5" xfId="7431" xr:uid="{00000000-0005-0000-0000-00006B1A0000}"/>
    <cellStyle name="Normal 15 2 2 2 3 3 4" xfId="1867" xr:uid="{00000000-0005-0000-0000-00006C1A0000}"/>
    <cellStyle name="Normal 15 2 2 2 3 3 4 2" xfId="5216" xr:uid="{00000000-0005-0000-0000-00006D1A0000}"/>
    <cellStyle name="Normal 15 2 2 2 3 3 4 2 2" xfId="10530" xr:uid="{00000000-0005-0000-0000-00006E1A0000}"/>
    <cellStyle name="Normal 15 2 2 2 3 3 4 3" xfId="7872" xr:uid="{00000000-0005-0000-0000-00006F1A0000}"/>
    <cellStyle name="Normal 15 2 2 2 3 3 5" xfId="2788" xr:uid="{00000000-0005-0000-0000-0000701A0000}"/>
    <cellStyle name="Normal 15 2 2 2 3 3 5 2" xfId="6093" xr:uid="{00000000-0005-0000-0000-0000711A0000}"/>
    <cellStyle name="Normal 15 2 2 2 3 3 5 2 2" xfId="11407" xr:uid="{00000000-0005-0000-0000-0000721A0000}"/>
    <cellStyle name="Normal 15 2 2 2 3 3 5 3" xfId="8749" xr:uid="{00000000-0005-0000-0000-0000731A0000}"/>
    <cellStyle name="Normal 15 2 2 2 3 3 6" xfId="4022" xr:uid="{00000000-0005-0000-0000-0000741A0000}"/>
    <cellStyle name="Normal 15 2 2 2 3 3 6 2" xfId="9653" xr:uid="{00000000-0005-0000-0000-0000751A0000}"/>
    <cellStyle name="Normal 15 2 2 2 3 3 7" xfId="6995" xr:uid="{00000000-0005-0000-0000-0000761A0000}"/>
    <cellStyle name="Normal 15 2 2 2 3 4" xfId="993" xr:uid="{00000000-0005-0000-0000-0000771A0000}"/>
    <cellStyle name="Normal 15 2 2 2 3 4 2" xfId="2105" xr:uid="{00000000-0005-0000-0000-0000781A0000}"/>
    <cellStyle name="Normal 15 2 2 2 3 4 2 2" xfId="5452" xr:uid="{00000000-0005-0000-0000-0000791A0000}"/>
    <cellStyle name="Normal 15 2 2 2 3 4 2 2 2" xfId="10766" xr:uid="{00000000-0005-0000-0000-00007A1A0000}"/>
    <cellStyle name="Normal 15 2 2 2 3 4 2 3" xfId="8108" xr:uid="{00000000-0005-0000-0000-00007B1A0000}"/>
    <cellStyle name="Normal 15 2 2 2 3 4 3" xfId="3026" xr:uid="{00000000-0005-0000-0000-00007C1A0000}"/>
    <cellStyle name="Normal 15 2 2 2 3 4 3 2" xfId="6329" xr:uid="{00000000-0005-0000-0000-00007D1A0000}"/>
    <cellStyle name="Normal 15 2 2 2 3 4 3 2 2" xfId="11643" xr:uid="{00000000-0005-0000-0000-00007E1A0000}"/>
    <cellStyle name="Normal 15 2 2 2 3 4 3 3" xfId="8985" xr:uid="{00000000-0005-0000-0000-00007F1A0000}"/>
    <cellStyle name="Normal 15 2 2 2 3 4 4" xfId="4385" xr:uid="{00000000-0005-0000-0000-0000801A0000}"/>
    <cellStyle name="Normal 15 2 2 2 3 4 4 2" xfId="9889" xr:uid="{00000000-0005-0000-0000-0000811A0000}"/>
    <cellStyle name="Normal 15 2 2 2 3 4 5" xfId="7231" xr:uid="{00000000-0005-0000-0000-0000821A0000}"/>
    <cellStyle name="Normal 15 2 2 2 3 5" xfId="1667" xr:uid="{00000000-0005-0000-0000-0000831A0000}"/>
    <cellStyle name="Normal 15 2 2 2 3 5 2" xfId="5016" xr:uid="{00000000-0005-0000-0000-0000841A0000}"/>
    <cellStyle name="Normal 15 2 2 2 3 5 2 2" xfId="10330" xr:uid="{00000000-0005-0000-0000-0000851A0000}"/>
    <cellStyle name="Normal 15 2 2 2 3 5 3" xfId="7672" xr:uid="{00000000-0005-0000-0000-0000861A0000}"/>
    <cellStyle name="Normal 15 2 2 2 3 6" xfId="2588" xr:uid="{00000000-0005-0000-0000-0000871A0000}"/>
    <cellStyle name="Normal 15 2 2 2 3 6 2" xfId="5893" xr:uid="{00000000-0005-0000-0000-0000881A0000}"/>
    <cellStyle name="Normal 15 2 2 2 3 6 2 2" xfId="11207" xr:uid="{00000000-0005-0000-0000-0000891A0000}"/>
    <cellStyle name="Normal 15 2 2 2 3 6 3" xfId="8549" xr:uid="{00000000-0005-0000-0000-00008A1A0000}"/>
    <cellStyle name="Normal 15 2 2 2 3 7" xfId="3700" xr:uid="{00000000-0005-0000-0000-00008B1A0000}"/>
    <cellStyle name="Normal 15 2 2 2 3 7 2" xfId="9453" xr:uid="{00000000-0005-0000-0000-00008C1A0000}"/>
    <cellStyle name="Normal 15 2 2 2 3 8" xfId="6795" xr:uid="{00000000-0005-0000-0000-00008D1A0000}"/>
    <cellStyle name="Normal 15 2 2 2 4" xfId="430" xr:uid="{00000000-0005-0000-0000-00008E1A0000}"/>
    <cellStyle name="Normal 15 2 2 2 4 2" xfId="753" xr:uid="{00000000-0005-0000-0000-00008F1A0000}"/>
    <cellStyle name="Normal 15 2 2 2 4 2 2" xfId="1440" xr:uid="{00000000-0005-0000-0000-0000901A0000}"/>
    <cellStyle name="Normal 15 2 2 2 4 2 2 2" xfId="2372" xr:uid="{00000000-0005-0000-0000-0000911A0000}"/>
    <cellStyle name="Normal 15 2 2 2 4 2 2 2 2" xfId="5719" xr:uid="{00000000-0005-0000-0000-0000921A0000}"/>
    <cellStyle name="Normal 15 2 2 2 4 2 2 2 2 2" xfId="11033" xr:uid="{00000000-0005-0000-0000-0000931A0000}"/>
    <cellStyle name="Normal 15 2 2 2 4 2 2 2 3" xfId="8375" xr:uid="{00000000-0005-0000-0000-0000941A0000}"/>
    <cellStyle name="Normal 15 2 2 2 4 2 2 3" xfId="3293" xr:uid="{00000000-0005-0000-0000-0000951A0000}"/>
    <cellStyle name="Normal 15 2 2 2 4 2 2 3 2" xfId="6596" xr:uid="{00000000-0005-0000-0000-0000961A0000}"/>
    <cellStyle name="Normal 15 2 2 2 4 2 2 3 2 2" xfId="11910" xr:uid="{00000000-0005-0000-0000-0000971A0000}"/>
    <cellStyle name="Normal 15 2 2 2 4 2 2 3 3" xfId="9252" xr:uid="{00000000-0005-0000-0000-0000981A0000}"/>
    <cellStyle name="Normal 15 2 2 2 4 2 2 4" xfId="4832" xr:uid="{00000000-0005-0000-0000-0000991A0000}"/>
    <cellStyle name="Normal 15 2 2 2 4 2 2 4 2" xfId="10156" xr:uid="{00000000-0005-0000-0000-00009A1A0000}"/>
    <cellStyle name="Normal 15 2 2 2 4 2 2 5" xfId="7498" xr:uid="{00000000-0005-0000-0000-00009B1A0000}"/>
    <cellStyle name="Normal 15 2 2 2 4 2 3" xfId="1934" xr:uid="{00000000-0005-0000-0000-00009C1A0000}"/>
    <cellStyle name="Normal 15 2 2 2 4 2 3 2" xfId="5283" xr:uid="{00000000-0005-0000-0000-00009D1A0000}"/>
    <cellStyle name="Normal 15 2 2 2 4 2 3 2 2" xfId="10597" xr:uid="{00000000-0005-0000-0000-00009E1A0000}"/>
    <cellStyle name="Normal 15 2 2 2 4 2 3 3" xfId="7939" xr:uid="{00000000-0005-0000-0000-00009F1A0000}"/>
    <cellStyle name="Normal 15 2 2 2 4 2 4" xfId="2855" xr:uid="{00000000-0005-0000-0000-0000A01A0000}"/>
    <cellStyle name="Normal 15 2 2 2 4 2 4 2" xfId="6160" xr:uid="{00000000-0005-0000-0000-0000A11A0000}"/>
    <cellStyle name="Normal 15 2 2 2 4 2 4 2 2" xfId="11474" xr:uid="{00000000-0005-0000-0000-0000A21A0000}"/>
    <cellStyle name="Normal 15 2 2 2 4 2 4 3" xfId="8816" xr:uid="{00000000-0005-0000-0000-0000A31A0000}"/>
    <cellStyle name="Normal 15 2 2 2 4 2 5" xfId="4147" xr:uid="{00000000-0005-0000-0000-0000A41A0000}"/>
    <cellStyle name="Normal 15 2 2 2 4 2 5 2" xfId="9720" xr:uid="{00000000-0005-0000-0000-0000A51A0000}"/>
    <cellStyle name="Normal 15 2 2 2 4 2 6" xfId="7062" xr:uid="{00000000-0005-0000-0000-0000A61A0000}"/>
    <cellStyle name="Normal 15 2 2 2 4 3" xfId="1118" xr:uid="{00000000-0005-0000-0000-0000A71A0000}"/>
    <cellStyle name="Normal 15 2 2 2 4 3 2" xfId="2172" xr:uid="{00000000-0005-0000-0000-0000A81A0000}"/>
    <cellStyle name="Normal 15 2 2 2 4 3 2 2" xfId="5519" xr:uid="{00000000-0005-0000-0000-0000A91A0000}"/>
    <cellStyle name="Normal 15 2 2 2 4 3 2 2 2" xfId="10833" xr:uid="{00000000-0005-0000-0000-0000AA1A0000}"/>
    <cellStyle name="Normal 15 2 2 2 4 3 2 3" xfId="8175" xr:uid="{00000000-0005-0000-0000-0000AB1A0000}"/>
    <cellStyle name="Normal 15 2 2 2 4 3 3" xfId="3093" xr:uid="{00000000-0005-0000-0000-0000AC1A0000}"/>
    <cellStyle name="Normal 15 2 2 2 4 3 3 2" xfId="6396" xr:uid="{00000000-0005-0000-0000-0000AD1A0000}"/>
    <cellStyle name="Normal 15 2 2 2 4 3 3 2 2" xfId="11710" xr:uid="{00000000-0005-0000-0000-0000AE1A0000}"/>
    <cellStyle name="Normal 15 2 2 2 4 3 3 3" xfId="9052" xr:uid="{00000000-0005-0000-0000-0000AF1A0000}"/>
    <cellStyle name="Normal 15 2 2 2 4 3 4" xfId="4510" xr:uid="{00000000-0005-0000-0000-0000B01A0000}"/>
    <cellStyle name="Normal 15 2 2 2 4 3 4 2" xfId="9956" xr:uid="{00000000-0005-0000-0000-0000B11A0000}"/>
    <cellStyle name="Normal 15 2 2 2 4 3 5" xfId="7298" xr:uid="{00000000-0005-0000-0000-0000B21A0000}"/>
    <cellStyle name="Normal 15 2 2 2 4 4" xfId="1734" xr:uid="{00000000-0005-0000-0000-0000B31A0000}"/>
    <cellStyle name="Normal 15 2 2 2 4 4 2" xfId="5083" xr:uid="{00000000-0005-0000-0000-0000B41A0000}"/>
    <cellStyle name="Normal 15 2 2 2 4 4 2 2" xfId="10397" xr:uid="{00000000-0005-0000-0000-0000B51A0000}"/>
    <cellStyle name="Normal 15 2 2 2 4 4 3" xfId="7739" xr:uid="{00000000-0005-0000-0000-0000B61A0000}"/>
    <cellStyle name="Normal 15 2 2 2 4 5" xfId="2655" xr:uid="{00000000-0005-0000-0000-0000B71A0000}"/>
    <cellStyle name="Normal 15 2 2 2 4 5 2" xfId="5960" xr:uid="{00000000-0005-0000-0000-0000B81A0000}"/>
    <cellStyle name="Normal 15 2 2 2 4 5 2 2" xfId="11274" xr:uid="{00000000-0005-0000-0000-0000B91A0000}"/>
    <cellStyle name="Normal 15 2 2 2 4 5 3" xfId="8616" xr:uid="{00000000-0005-0000-0000-0000BA1A0000}"/>
    <cellStyle name="Normal 15 2 2 2 4 6" xfId="3825" xr:uid="{00000000-0005-0000-0000-0000BB1A0000}"/>
    <cellStyle name="Normal 15 2 2 2 4 6 2" xfId="9520" xr:uid="{00000000-0005-0000-0000-0000BC1A0000}"/>
    <cellStyle name="Normal 15 2 2 2 4 7" xfId="6862" xr:uid="{00000000-0005-0000-0000-0000BD1A0000}"/>
    <cellStyle name="Normal 15 2 2 2 5" xfId="604" xr:uid="{00000000-0005-0000-0000-0000BE1A0000}"/>
    <cellStyle name="Normal 15 2 2 2 5 2" xfId="1291" xr:uid="{00000000-0005-0000-0000-0000BF1A0000}"/>
    <cellStyle name="Normal 15 2 2 2 5 2 2" xfId="2283" xr:uid="{00000000-0005-0000-0000-0000C01A0000}"/>
    <cellStyle name="Normal 15 2 2 2 5 2 2 2" xfId="5630" xr:uid="{00000000-0005-0000-0000-0000C11A0000}"/>
    <cellStyle name="Normal 15 2 2 2 5 2 2 2 2" xfId="10944" xr:uid="{00000000-0005-0000-0000-0000C21A0000}"/>
    <cellStyle name="Normal 15 2 2 2 5 2 2 3" xfId="8286" xr:uid="{00000000-0005-0000-0000-0000C31A0000}"/>
    <cellStyle name="Normal 15 2 2 2 5 2 3" xfId="3204" xr:uid="{00000000-0005-0000-0000-0000C41A0000}"/>
    <cellStyle name="Normal 15 2 2 2 5 2 3 2" xfId="6507" xr:uid="{00000000-0005-0000-0000-0000C51A0000}"/>
    <cellStyle name="Normal 15 2 2 2 5 2 3 2 2" xfId="11821" xr:uid="{00000000-0005-0000-0000-0000C61A0000}"/>
    <cellStyle name="Normal 15 2 2 2 5 2 3 3" xfId="9163" xr:uid="{00000000-0005-0000-0000-0000C71A0000}"/>
    <cellStyle name="Normal 15 2 2 2 5 2 4" xfId="4683" xr:uid="{00000000-0005-0000-0000-0000C81A0000}"/>
    <cellStyle name="Normal 15 2 2 2 5 2 4 2" xfId="10067" xr:uid="{00000000-0005-0000-0000-0000C91A0000}"/>
    <cellStyle name="Normal 15 2 2 2 5 2 5" xfId="7409" xr:uid="{00000000-0005-0000-0000-0000CA1A0000}"/>
    <cellStyle name="Normal 15 2 2 2 5 3" xfId="1845" xr:uid="{00000000-0005-0000-0000-0000CB1A0000}"/>
    <cellStyle name="Normal 15 2 2 2 5 3 2" xfId="5194" xr:uid="{00000000-0005-0000-0000-0000CC1A0000}"/>
    <cellStyle name="Normal 15 2 2 2 5 3 2 2" xfId="10508" xr:uid="{00000000-0005-0000-0000-0000CD1A0000}"/>
    <cellStyle name="Normal 15 2 2 2 5 3 3" xfId="7850" xr:uid="{00000000-0005-0000-0000-0000CE1A0000}"/>
    <cellStyle name="Normal 15 2 2 2 5 4" xfId="2766" xr:uid="{00000000-0005-0000-0000-0000CF1A0000}"/>
    <cellStyle name="Normal 15 2 2 2 5 4 2" xfId="6071" xr:uid="{00000000-0005-0000-0000-0000D01A0000}"/>
    <cellStyle name="Normal 15 2 2 2 5 4 2 2" xfId="11385" xr:uid="{00000000-0005-0000-0000-0000D11A0000}"/>
    <cellStyle name="Normal 15 2 2 2 5 4 3" xfId="8727" xr:uid="{00000000-0005-0000-0000-0000D21A0000}"/>
    <cellStyle name="Normal 15 2 2 2 5 5" xfId="3998" xr:uid="{00000000-0005-0000-0000-0000D31A0000}"/>
    <cellStyle name="Normal 15 2 2 2 5 5 2" xfId="9631" xr:uid="{00000000-0005-0000-0000-0000D41A0000}"/>
    <cellStyle name="Normal 15 2 2 2 5 6" xfId="6973" xr:uid="{00000000-0005-0000-0000-0000D51A0000}"/>
    <cellStyle name="Normal 15 2 2 2 6" xfId="969" xr:uid="{00000000-0005-0000-0000-0000D61A0000}"/>
    <cellStyle name="Normal 15 2 2 2 6 2" xfId="2083" xr:uid="{00000000-0005-0000-0000-0000D71A0000}"/>
    <cellStyle name="Normal 15 2 2 2 6 2 2" xfId="5430" xr:uid="{00000000-0005-0000-0000-0000D81A0000}"/>
    <cellStyle name="Normal 15 2 2 2 6 2 2 2" xfId="10744" xr:uid="{00000000-0005-0000-0000-0000D91A0000}"/>
    <cellStyle name="Normal 15 2 2 2 6 2 3" xfId="8086" xr:uid="{00000000-0005-0000-0000-0000DA1A0000}"/>
    <cellStyle name="Normal 15 2 2 2 6 3" xfId="3004" xr:uid="{00000000-0005-0000-0000-0000DB1A0000}"/>
    <cellStyle name="Normal 15 2 2 2 6 3 2" xfId="6307" xr:uid="{00000000-0005-0000-0000-0000DC1A0000}"/>
    <cellStyle name="Normal 15 2 2 2 6 3 2 2" xfId="11621" xr:uid="{00000000-0005-0000-0000-0000DD1A0000}"/>
    <cellStyle name="Normal 15 2 2 2 6 3 3" xfId="8963" xr:uid="{00000000-0005-0000-0000-0000DE1A0000}"/>
    <cellStyle name="Normal 15 2 2 2 6 4" xfId="4361" xr:uid="{00000000-0005-0000-0000-0000DF1A0000}"/>
    <cellStyle name="Normal 15 2 2 2 6 4 2" xfId="9867" xr:uid="{00000000-0005-0000-0000-0000E01A0000}"/>
    <cellStyle name="Normal 15 2 2 2 6 5" xfId="7209" xr:uid="{00000000-0005-0000-0000-0000E11A0000}"/>
    <cellStyle name="Normal 15 2 2 2 7" xfId="1644" xr:uid="{00000000-0005-0000-0000-0000E21A0000}"/>
    <cellStyle name="Normal 15 2 2 2 7 2" xfId="4994" xr:uid="{00000000-0005-0000-0000-0000E31A0000}"/>
    <cellStyle name="Normal 15 2 2 2 7 2 2" xfId="10308" xr:uid="{00000000-0005-0000-0000-0000E41A0000}"/>
    <cellStyle name="Normal 15 2 2 2 7 3" xfId="7650" xr:uid="{00000000-0005-0000-0000-0000E51A0000}"/>
    <cellStyle name="Normal 15 2 2 2 8" xfId="2565" xr:uid="{00000000-0005-0000-0000-0000E61A0000}"/>
    <cellStyle name="Normal 15 2 2 2 8 2" xfId="5871" xr:uid="{00000000-0005-0000-0000-0000E71A0000}"/>
    <cellStyle name="Normal 15 2 2 2 8 2 2" xfId="11185" xr:uid="{00000000-0005-0000-0000-0000E81A0000}"/>
    <cellStyle name="Normal 15 2 2 2 8 3" xfId="8527" xr:uid="{00000000-0005-0000-0000-0000E91A0000}"/>
    <cellStyle name="Normal 15 2 2 2 9" xfId="3676" xr:uid="{00000000-0005-0000-0000-0000EA1A0000}"/>
    <cellStyle name="Normal 15 2 2 2 9 2" xfId="9431" xr:uid="{00000000-0005-0000-0000-0000EB1A0000}"/>
    <cellStyle name="Normal 15 2 2 3" xfId="427" xr:uid="{00000000-0005-0000-0000-0000EC1A0000}"/>
    <cellStyle name="Normal 15 2 2 3 2" xfId="750" xr:uid="{00000000-0005-0000-0000-0000ED1A0000}"/>
    <cellStyle name="Normal 15 2 2 3 2 2" xfId="1437" xr:uid="{00000000-0005-0000-0000-0000EE1A0000}"/>
    <cellStyle name="Normal 15 2 2 3 2 2 2" xfId="2369" xr:uid="{00000000-0005-0000-0000-0000EF1A0000}"/>
    <cellStyle name="Normal 15 2 2 3 2 2 2 2" xfId="5716" xr:uid="{00000000-0005-0000-0000-0000F01A0000}"/>
    <cellStyle name="Normal 15 2 2 3 2 2 2 2 2" xfId="11030" xr:uid="{00000000-0005-0000-0000-0000F11A0000}"/>
    <cellStyle name="Normal 15 2 2 3 2 2 2 3" xfId="8372" xr:uid="{00000000-0005-0000-0000-0000F21A0000}"/>
    <cellStyle name="Normal 15 2 2 3 2 2 3" xfId="3290" xr:uid="{00000000-0005-0000-0000-0000F31A0000}"/>
    <cellStyle name="Normal 15 2 2 3 2 2 3 2" xfId="6593" xr:uid="{00000000-0005-0000-0000-0000F41A0000}"/>
    <cellStyle name="Normal 15 2 2 3 2 2 3 2 2" xfId="11907" xr:uid="{00000000-0005-0000-0000-0000F51A0000}"/>
    <cellStyle name="Normal 15 2 2 3 2 2 3 3" xfId="9249" xr:uid="{00000000-0005-0000-0000-0000F61A0000}"/>
    <cellStyle name="Normal 15 2 2 3 2 2 4" xfId="4829" xr:uid="{00000000-0005-0000-0000-0000F71A0000}"/>
    <cellStyle name="Normal 15 2 2 3 2 2 4 2" xfId="10153" xr:uid="{00000000-0005-0000-0000-0000F81A0000}"/>
    <cellStyle name="Normal 15 2 2 3 2 2 5" xfId="7495" xr:uid="{00000000-0005-0000-0000-0000F91A0000}"/>
    <cellStyle name="Normal 15 2 2 3 2 3" xfId="1931" xr:uid="{00000000-0005-0000-0000-0000FA1A0000}"/>
    <cellStyle name="Normal 15 2 2 3 2 3 2" xfId="5280" xr:uid="{00000000-0005-0000-0000-0000FB1A0000}"/>
    <cellStyle name="Normal 15 2 2 3 2 3 2 2" xfId="10594" xr:uid="{00000000-0005-0000-0000-0000FC1A0000}"/>
    <cellStyle name="Normal 15 2 2 3 2 3 3" xfId="7936" xr:uid="{00000000-0005-0000-0000-0000FD1A0000}"/>
    <cellStyle name="Normal 15 2 2 3 2 4" xfId="2852" xr:uid="{00000000-0005-0000-0000-0000FE1A0000}"/>
    <cellStyle name="Normal 15 2 2 3 2 4 2" xfId="6157" xr:uid="{00000000-0005-0000-0000-0000FF1A0000}"/>
    <cellStyle name="Normal 15 2 2 3 2 4 2 2" xfId="11471" xr:uid="{00000000-0005-0000-0000-0000001B0000}"/>
    <cellStyle name="Normal 15 2 2 3 2 4 3" xfId="8813" xr:uid="{00000000-0005-0000-0000-0000011B0000}"/>
    <cellStyle name="Normal 15 2 2 3 2 5" xfId="4144" xr:uid="{00000000-0005-0000-0000-0000021B0000}"/>
    <cellStyle name="Normal 15 2 2 3 2 5 2" xfId="9717" xr:uid="{00000000-0005-0000-0000-0000031B0000}"/>
    <cellStyle name="Normal 15 2 2 3 2 6" xfId="7059" xr:uid="{00000000-0005-0000-0000-0000041B0000}"/>
    <cellStyle name="Normal 15 2 2 3 3" xfId="1115" xr:uid="{00000000-0005-0000-0000-0000051B0000}"/>
    <cellStyle name="Normal 15 2 2 3 3 2" xfId="2169" xr:uid="{00000000-0005-0000-0000-0000061B0000}"/>
    <cellStyle name="Normal 15 2 2 3 3 2 2" xfId="5516" xr:uid="{00000000-0005-0000-0000-0000071B0000}"/>
    <cellStyle name="Normal 15 2 2 3 3 2 2 2" xfId="10830" xr:uid="{00000000-0005-0000-0000-0000081B0000}"/>
    <cellStyle name="Normal 15 2 2 3 3 2 3" xfId="8172" xr:uid="{00000000-0005-0000-0000-0000091B0000}"/>
    <cellStyle name="Normal 15 2 2 3 3 3" xfId="3090" xr:uid="{00000000-0005-0000-0000-00000A1B0000}"/>
    <cellStyle name="Normal 15 2 2 3 3 3 2" xfId="6393" xr:uid="{00000000-0005-0000-0000-00000B1B0000}"/>
    <cellStyle name="Normal 15 2 2 3 3 3 2 2" xfId="11707" xr:uid="{00000000-0005-0000-0000-00000C1B0000}"/>
    <cellStyle name="Normal 15 2 2 3 3 3 3" xfId="9049" xr:uid="{00000000-0005-0000-0000-00000D1B0000}"/>
    <cellStyle name="Normal 15 2 2 3 3 4" xfId="4507" xr:uid="{00000000-0005-0000-0000-00000E1B0000}"/>
    <cellStyle name="Normal 15 2 2 3 3 4 2" xfId="9953" xr:uid="{00000000-0005-0000-0000-00000F1B0000}"/>
    <cellStyle name="Normal 15 2 2 3 3 5" xfId="7295" xr:uid="{00000000-0005-0000-0000-0000101B0000}"/>
    <cellStyle name="Normal 15 2 2 3 4" xfId="1731" xr:uid="{00000000-0005-0000-0000-0000111B0000}"/>
    <cellStyle name="Normal 15 2 2 3 4 2" xfId="5080" xr:uid="{00000000-0005-0000-0000-0000121B0000}"/>
    <cellStyle name="Normal 15 2 2 3 4 2 2" xfId="10394" xr:uid="{00000000-0005-0000-0000-0000131B0000}"/>
    <cellStyle name="Normal 15 2 2 3 4 3" xfId="7736" xr:uid="{00000000-0005-0000-0000-0000141B0000}"/>
    <cellStyle name="Normal 15 2 2 3 5" xfId="2652" xr:uid="{00000000-0005-0000-0000-0000151B0000}"/>
    <cellStyle name="Normal 15 2 2 3 5 2" xfId="5957" xr:uid="{00000000-0005-0000-0000-0000161B0000}"/>
    <cellStyle name="Normal 15 2 2 3 5 2 2" xfId="11271" xr:uid="{00000000-0005-0000-0000-0000171B0000}"/>
    <cellStyle name="Normal 15 2 2 3 5 3" xfId="8613" xr:uid="{00000000-0005-0000-0000-0000181B0000}"/>
    <cellStyle name="Normal 15 2 2 3 6" xfId="3822" xr:uid="{00000000-0005-0000-0000-0000191B0000}"/>
    <cellStyle name="Normal 15 2 2 3 6 2" xfId="9517" xr:uid="{00000000-0005-0000-0000-00001A1B0000}"/>
    <cellStyle name="Normal 15 2 2 3 7" xfId="6859" xr:uid="{00000000-0005-0000-0000-00001B1B0000}"/>
    <cellStyle name="Normal 15 2 2 4" xfId="601" xr:uid="{00000000-0005-0000-0000-00001C1B0000}"/>
    <cellStyle name="Normal 15 2 2 4 2" xfId="1288" xr:uid="{00000000-0005-0000-0000-00001D1B0000}"/>
    <cellStyle name="Normal 15 2 2 4 2 2" xfId="2280" xr:uid="{00000000-0005-0000-0000-00001E1B0000}"/>
    <cellStyle name="Normal 15 2 2 4 2 2 2" xfId="5627" xr:uid="{00000000-0005-0000-0000-00001F1B0000}"/>
    <cellStyle name="Normal 15 2 2 4 2 2 2 2" xfId="10941" xr:uid="{00000000-0005-0000-0000-0000201B0000}"/>
    <cellStyle name="Normal 15 2 2 4 2 2 3" xfId="8283" xr:uid="{00000000-0005-0000-0000-0000211B0000}"/>
    <cellStyle name="Normal 15 2 2 4 2 3" xfId="3201" xr:uid="{00000000-0005-0000-0000-0000221B0000}"/>
    <cellStyle name="Normal 15 2 2 4 2 3 2" xfId="6504" xr:uid="{00000000-0005-0000-0000-0000231B0000}"/>
    <cellStyle name="Normal 15 2 2 4 2 3 2 2" xfId="11818" xr:uid="{00000000-0005-0000-0000-0000241B0000}"/>
    <cellStyle name="Normal 15 2 2 4 2 3 3" xfId="9160" xr:uid="{00000000-0005-0000-0000-0000251B0000}"/>
    <cellStyle name="Normal 15 2 2 4 2 4" xfId="4680" xr:uid="{00000000-0005-0000-0000-0000261B0000}"/>
    <cellStyle name="Normal 15 2 2 4 2 4 2" xfId="10064" xr:uid="{00000000-0005-0000-0000-0000271B0000}"/>
    <cellStyle name="Normal 15 2 2 4 2 5" xfId="7406" xr:uid="{00000000-0005-0000-0000-0000281B0000}"/>
    <cellStyle name="Normal 15 2 2 4 3" xfId="1842" xr:uid="{00000000-0005-0000-0000-0000291B0000}"/>
    <cellStyle name="Normal 15 2 2 4 3 2" xfId="5191" xr:uid="{00000000-0005-0000-0000-00002A1B0000}"/>
    <cellStyle name="Normal 15 2 2 4 3 2 2" xfId="10505" xr:uid="{00000000-0005-0000-0000-00002B1B0000}"/>
    <cellStyle name="Normal 15 2 2 4 3 3" xfId="7847" xr:uid="{00000000-0005-0000-0000-00002C1B0000}"/>
    <cellStyle name="Normal 15 2 2 4 4" xfId="2763" xr:uid="{00000000-0005-0000-0000-00002D1B0000}"/>
    <cellStyle name="Normal 15 2 2 4 4 2" xfId="6068" xr:uid="{00000000-0005-0000-0000-00002E1B0000}"/>
    <cellStyle name="Normal 15 2 2 4 4 2 2" xfId="11382" xr:uid="{00000000-0005-0000-0000-00002F1B0000}"/>
    <cellStyle name="Normal 15 2 2 4 4 3" xfId="8724" xr:uid="{00000000-0005-0000-0000-0000301B0000}"/>
    <cellStyle name="Normal 15 2 2 4 5" xfId="3995" xr:uid="{00000000-0005-0000-0000-0000311B0000}"/>
    <cellStyle name="Normal 15 2 2 4 5 2" xfId="9628" xr:uid="{00000000-0005-0000-0000-0000321B0000}"/>
    <cellStyle name="Normal 15 2 2 4 6" xfId="6970" xr:uid="{00000000-0005-0000-0000-0000331B0000}"/>
    <cellStyle name="Normal 15 2 2 5" xfId="966" xr:uid="{00000000-0005-0000-0000-0000341B0000}"/>
    <cellStyle name="Normal 15 2 2 5 2" xfId="2080" xr:uid="{00000000-0005-0000-0000-0000351B0000}"/>
    <cellStyle name="Normal 15 2 2 5 2 2" xfId="5427" xr:uid="{00000000-0005-0000-0000-0000361B0000}"/>
    <cellStyle name="Normal 15 2 2 5 2 2 2" xfId="10741" xr:uid="{00000000-0005-0000-0000-0000371B0000}"/>
    <cellStyle name="Normal 15 2 2 5 2 3" xfId="8083" xr:uid="{00000000-0005-0000-0000-0000381B0000}"/>
    <cellStyle name="Normal 15 2 2 5 3" xfId="3001" xr:uid="{00000000-0005-0000-0000-0000391B0000}"/>
    <cellStyle name="Normal 15 2 2 5 3 2" xfId="6304" xr:uid="{00000000-0005-0000-0000-00003A1B0000}"/>
    <cellStyle name="Normal 15 2 2 5 3 2 2" xfId="11618" xr:uid="{00000000-0005-0000-0000-00003B1B0000}"/>
    <cellStyle name="Normal 15 2 2 5 3 3" xfId="8960" xr:uid="{00000000-0005-0000-0000-00003C1B0000}"/>
    <cellStyle name="Normal 15 2 2 5 4" xfId="4358" xr:uid="{00000000-0005-0000-0000-00003D1B0000}"/>
    <cellStyle name="Normal 15 2 2 5 4 2" xfId="9864" xr:uid="{00000000-0005-0000-0000-00003E1B0000}"/>
    <cellStyle name="Normal 15 2 2 5 5" xfId="7206" xr:uid="{00000000-0005-0000-0000-00003F1B0000}"/>
    <cellStyle name="Normal 15 2 2 6" xfId="1641" xr:uid="{00000000-0005-0000-0000-0000401B0000}"/>
    <cellStyle name="Normal 15 2 2 6 2" xfId="4991" xr:uid="{00000000-0005-0000-0000-0000411B0000}"/>
    <cellStyle name="Normal 15 2 2 6 2 2" xfId="10305" xr:uid="{00000000-0005-0000-0000-0000421B0000}"/>
    <cellStyle name="Normal 15 2 2 6 3" xfId="7647" xr:uid="{00000000-0005-0000-0000-0000431B0000}"/>
    <cellStyle name="Normal 15 2 2 7" xfId="2562" xr:uid="{00000000-0005-0000-0000-0000441B0000}"/>
    <cellStyle name="Normal 15 2 2 7 2" xfId="5868" xr:uid="{00000000-0005-0000-0000-0000451B0000}"/>
    <cellStyle name="Normal 15 2 2 7 2 2" xfId="11182" xr:uid="{00000000-0005-0000-0000-0000461B0000}"/>
    <cellStyle name="Normal 15 2 2 7 3" xfId="8524" xr:uid="{00000000-0005-0000-0000-0000471B0000}"/>
    <cellStyle name="Normal 15 2 2 8" xfId="3673" xr:uid="{00000000-0005-0000-0000-0000481B0000}"/>
    <cellStyle name="Normal 15 2 2 8 2" xfId="9428" xr:uid="{00000000-0005-0000-0000-0000491B0000}"/>
    <cellStyle name="Normal 15 2 2 9" xfId="6765" xr:uid="{00000000-0005-0000-0000-00004A1B0000}"/>
    <cellStyle name="Normal 15 2 3" xfId="393" xr:uid="{00000000-0005-0000-0000-00004B1B0000}"/>
    <cellStyle name="Normal 15 2 3 2" xfId="716" xr:uid="{00000000-0005-0000-0000-00004C1B0000}"/>
    <cellStyle name="Normal 15 2 3 2 2" xfId="1403" xr:uid="{00000000-0005-0000-0000-00004D1B0000}"/>
    <cellStyle name="Normal 15 2 3 2 2 2" xfId="803" xr:uid="{00000000-0005-0000-0000-00004E1B0000}"/>
    <cellStyle name="Normal 15 2 3 2 2 2 2" xfId="846" xr:uid="{00000000-0005-0000-0000-00004F1B0000}"/>
    <cellStyle name="Normal 15 2 3 2 2 2 2 2" xfId="1531" xr:uid="{00000000-0005-0000-0000-0000501B0000}"/>
    <cellStyle name="Normal 15 2 3 2 2 2 2 2 2" xfId="2453" xr:uid="{00000000-0005-0000-0000-0000511B0000}"/>
    <cellStyle name="Normal 15 2 3 2 2 2 2 2 2 2" xfId="5800" xr:uid="{00000000-0005-0000-0000-0000521B0000}"/>
    <cellStyle name="Normal 15 2 3 2 2 2 2 2 2 2 2" xfId="11114" xr:uid="{00000000-0005-0000-0000-0000531B0000}"/>
    <cellStyle name="Normal 15 2 3 2 2 2 2 2 2 3" xfId="8456" xr:uid="{00000000-0005-0000-0000-0000541B0000}"/>
    <cellStyle name="Normal 15 2 3 2 2 2 2 2 3" xfId="3374" xr:uid="{00000000-0005-0000-0000-0000551B0000}"/>
    <cellStyle name="Normal 15 2 3 2 2 2 2 2 3 2" xfId="6677" xr:uid="{00000000-0005-0000-0000-0000561B0000}"/>
    <cellStyle name="Normal 15 2 3 2 2 2 2 2 3 2 2" xfId="11991" xr:uid="{00000000-0005-0000-0000-0000571B0000}"/>
    <cellStyle name="Normal 15 2 3 2 2 2 2 2 3 3" xfId="9333" xr:uid="{00000000-0005-0000-0000-0000581B0000}"/>
    <cellStyle name="Normal 15 2 3 2 2 2 2 2 4" xfId="4923" xr:uid="{00000000-0005-0000-0000-0000591B0000}"/>
    <cellStyle name="Normal 15 2 3 2 2 2 2 2 4 2" xfId="10237" xr:uid="{00000000-0005-0000-0000-00005A1B0000}"/>
    <cellStyle name="Normal 15 2 3 2 2 2 2 2 5" xfId="7579" xr:uid="{00000000-0005-0000-0000-00005B1B0000}"/>
    <cellStyle name="Normal 15 2 3 2 2 2 2 3" xfId="2017" xr:uid="{00000000-0005-0000-0000-00005C1B0000}"/>
    <cellStyle name="Normal 15 2 3 2 2 2 2 3 2" xfId="5364" xr:uid="{00000000-0005-0000-0000-00005D1B0000}"/>
    <cellStyle name="Normal 15 2 3 2 2 2 2 3 2 2" xfId="10678" xr:uid="{00000000-0005-0000-0000-00005E1B0000}"/>
    <cellStyle name="Normal 15 2 3 2 2 2 2 3 3" xfId="8020" xr:uid="{00000000-0005-0000-0000-00005F1B0000}"/>
    <cellStyle name="Normal 15 2 3 2 2 2 2 4" xfId="2938" xr:uid="{00000000-0005-0000-0000-0000601B0000}"/>
    <cellStyle name="Normal 15 2 3 2 2 2 2 4 2" xfId="6241" xr:uid="{00000000-0005-0000-0000-0000611B0000}"/>
    <cellStyle name="Normal 15 2 3 2 2 2 2 4 2 2" xfId="11555" xr:uid="{00000000-0005-0000-0000-0000621B0000}"/>
    <cellStyle name="Normal 15 2 3 2 2 2 2 4 3" xfId="8897" xr:uid="{00000000-0005-0000-0000-0000631B0000}"/>
    <cellStyle name="Normal 15 2 3 2 2 2 2 5" xfId="4238" xr:uid="{00000000-0005-0000-0000-0000641B0000}"/>
    <cellStyle name="Normal 15 2 3 2 2 2 2 5 2" xfId="9801" xr:uid="{00000000-0005-0000-0000-0000651B0000}"/>
    <cellStyle name="Normal 15 2 3 2 2 2 2 6" xfId="7143" xr:uid="{00000000-0005-0000-0000-0000661B0000}"/>
    <cellStyle name="Normal 15 2 3 2 2 2 3" xfId="1490" xr:uid="{00000000-0005-0000-0000-0000671B0000}"/>
    <cellStyle name="Normal 15 2 3 2 2 2 3 2" xfId="2417" xr:uid="{00000000-0005-0000-0000-0000681B0000}"/>
    <cellStyle name="Normal 15 2 3 2 2 2 3 2 2" xfId="5764" xr:uid="{00000000-0005-0000-0000-0000691B0000}"/>
    <cellStyle name="Normal 15 2 3 2 2 2 3 2 2 2" xfId="11078" xr:uid="{00000000-0005-0000-0000-00006A1B0000}"/>
    <cellStyle name="Normal 15 2 3 2 2 2 3 2 3" xfId="8420" xr:uid="{00000000-0005-0000-0000-00006B1B0000}"/>
    <cellStyle name="Normal 15 2 3 2 2 2 3 3" xfId="3338" xr:uid="{00000000-0005-0000-0000-00006C1B0000}"/>
    <cellStyle name="Normal 15 2 3 2 2 2 3 3 2" xfId="6641" xr:uid="{00000000-0005-0000-0000-00006D1B0000}"/>
    <cellStyle name="Normal 15 2 3 2 2 2 3 3 2 2" xfId="11955" xr:uid="{00000000-0005-0000-0000-00006E1B0000}"/>
    <cellStyle name="Normal 15 2 3 2 2 2 3 3 3" xfId="9297" xr:uid="{00000000-0005-0000-0000-00006F1B0000}"/>
    <cellStyle name="Normal 15 2 3 2 2 2 3 4" xfId="4882" xr:uid="{00000000-0005-0000-0000-0000701B0000}"/>
    <cellStyle name="Normal 15 2 3 2 2 2 3 4 2" xfId="10201" xr:uid="{00000000-0005-0000-0000-0000711B0000}"/>
    <cellStyle name="Normal 15 2 3 2 2 2 3 5" xfId="7543" xr:uid="{00000000-0005-0000-0000-0000721B0000}"/>
    <cellStyle name="Normal 15 2 3 2 2 2 4" xfId="1979" xr:uid="{00000000-0005-0000-0000-0000731B0000}"/>
    <cellStyle name="Normal 15 2 3 2 2 2 4 2" xfId="5328" xr:uid="{00000000-0005-0000-0000-0000741B0000}"/>
    <cellStyle name="Normal 15 2 3 2 2 2 4 2 2" xfId="10642" xr:uid="{00000000-0005-0000-0000-0000751B0000}"/>
    <cellStyle name="Normal 15 2 3 2 2 2 4 3" xfId="7984" xr:uid="{00000000-0005-0000-0000-0000761B0000}"/>
    <cellStyle name="Normal 15 2 3 2 2 2 5" xfId="2900" xr:uid="{00000000-0005-0000-0000-0000771B0000}"/>
    <cellStyle name="Normal 15 2 3 2 2 2 5 2" xfId="6205" xr:uid="{00000000-0005-0000-0000-0000781B0000}"/>
    <cellStyle name="Normal 15 2 3 2 2 2 5 2 2" xfId="11519" xr:uid="{00000000-0005-0000-0000-0000791B0000}"/>
    <cellStyle name="Normal 15 2 3 2 2 2 5 3" xfId="8861" xr:uid="{00000000-0005-0000-0000-00007A1B0000}"/>
    <cellStyle name="Normal 15 2 3 2 2 2 6" xfId="4197" xr:uid="{00000000-0005-0000-0000-00007B1B0000}"/>
    <cellStyle name="Normal 15 2 3 2 2 2 6 2" xfId="9765" xr:uid="{00000000-0005-0000-0000-00007C1B0000}"/>
    <cellStyle name="Normal 15 2 3 2 2 2 7" xfId="7107" xr:uid="{00000000-0005-0000-0000-00007D1B0000}"/>
    <cellStyle name="Normal 15 2 3 2 2 3" xfId="2336" xr:uid="{00000000-0005-0000-0000-00007E1B0000}"/>
    <cellStyle name="Normal 15 2 3 2 2 3 2" xfId="5683" xr:uid="{00000000-0005-0000-0000-00007F1B0000}"/>
    <cellStyle name="Normal 15 2 3 2 2 3 2 2" xfId="10997" xr:uid="{00000000-0005-0000-0000-0000801B0000}"/>
    <cellStyle name="Normal 15 2 3 2 2 3 3" xfId="8339" xr:uid="{00000000-0005-0000-0000-0000811B0000}"/>
    <cellStyle name="Normal 15 2 3 2 2 4" xfId="3257" xr:uid="{00000000-0005-0000-0000-0000821B0000}"/>
    <cellStyle name="Normal 15 2 3 2 2 4 2" xfId="6560" xr:uid="{00000000-0005-0000-0000-0000831B0000}"/>
    <cellStyle name="Normal 15 2 3 2 2 4 2 2" xfId="11874" xr:uid="{00000000-0005-0000-0000-0000841B0000}"/>
    <cellStyle name="Normal 15 2 3 2 2 4 3" xfId="9216" xr:uid="{00000000-0005-0000-0000-0000851B0000}"/>
    <cellStyle name="Normal 15 2 3 2 2 5" xfId="4795" xr:uid="{00000000-0005-0000-0000-0000861B0000}"/>
    <cellStyle name="Normal 15 2 3 2 2 5 2" xfId="10120" xr:uid="{00000000-0005-0000-0000-0000871B0000}"/>
    <cellStyle name="Normal 15 2 3 2 2 6" xfId="7462" xr:uid="{00000000-0005-0000-0000-0000881B0000}"/>
    <cellStyle name="Normal 15 2 3 2 3" xfId="1898" xr:uid="{00000000-0005-0000-0000-0000891B0000}"/>
    <cellStyle name="Normal 15 2 3 2 3 2" xfId="5247" xr:uid="{00000000-0005-0000-0000-00008A1B0000}"/>
    <cellStyle name="Normal 15 2 3 2 3 2 2" xfId="10561" xr:uid="{00000000-0005-0000-0000-00008B1B0000}"/>
    <cellStyle name="Normal 15 2 3 2 3 3" xfId="7903" xr:uid="{00000000-0005-0000-0000-00008C1B0000}"/>
    <cellStyle name="Normal 15 2 3 2 4" xfId="2819" xr:uid="{00000000-0005-0000-0000-00008D1B0000}"/>
    <cellStyle name="Normal 15 2 3 2 4 2" xfId="6124" xr:uid="{00000000-0005-0000-0000-00008E1B0000}"/>
    <cellStyle name="Normal 15 2 3 2 4 2 2" xfId="11438" xr:uid="{00000000-0005-0000-0000-00008F1B0000}"/>
    <cellStyle name="Normal 15 2 3 2 4 3" xfId="8780" xr:uid="{00000000-0005-0000-0000-0000901B0000}"/>
    <cellStyle name="Normal 15 2 3 2 5" xfId="4110" xr:uid="{00000000-0005-0000-0000-0000911B0000}"/>
    <cellStyle name="Normal 15 2 3 2 5 2" xfId="9684" xr:uid="{00000000-0005-0000-0000-0000921B0000}"/>
    <cellStyle name="Normal 15 2 3 2 6" xfId="7026" xr:uid="{00000000-0005-0000-0000-0000931B0000}"/>
    <cellStyle name="Normal 15 2 3 3" xfId="1081" xr:uid="{00000000-0005-0000-0000-0000941B0000}"/>
    <cellStyle name="Normal 15 2 3 3 2" xfId="2136" xr:uid="{00000000-0005-0000-0000-0000951B0000}"/>
    <cellStyle name="Normal 15 2 3 3 2 2" xfId="5483" xr:uid="{00000000-0005-0000-0000-0000961B0000}"/>
    <cellStyle name="Normal 15 2 3 3 2 2 2" xfId="10797" xr:uid="{00000000-0005-0000-0000-0000971B0000}"/>
    <cellStyle name="Normal 15 2 3 3 2 3" xfId="8139" xr:uid="{00000000-0005-0000-0000-0000981B0000}"/>
    <cellStyle name="Normal 15 2 3 3 3" xfId="3057" xr:uid="{00000000-0005-0000-0000-0000991B0000}"/>
    <cellStyle name="Normal 15 2 3 3 3 2" xfId="6360" xr:uid="{00000000-0005-0000-0000-00009A1B0000}"/>
    <cellStyle name="Normal 15 2 3 3 3 2 2" xfId="11674" xr:uid="{00000000-0005-0000-0000-00009B1B0000}"/>
    <cellStyle name="Normal 15 2 3 3 3 3" xfId="9016" xr:uid="{00000000-0005-0000-0000-00009C1B0000}"/>
    <cellStyle name="Normal 15 2 3 3 4" xfId="4473" xr:uid="{00000000-0005-0000-0000-00009D1B0000}"/>
    <cellStyle name="Normal 15 2 3 3 4 2" xfId="9920" xr:uid="{00000000-0005-0000-0000-00009E1B0000}"/>
    <cellStyle name="Normal 15 2 3 3 5" xfId="7262" xr:uid="{00000000-0005-0000-0000-00009F1B0000}"/>
    <cellStyle name="Normal 15 2 3 4" xfId="1698" xr:uid="{00000000-0005-0000-0000-0000A01B0000}"/>
    <cellStyle name="Normal 15 2 3 4 2" xfId="5047" xr:uid="{00000000-0005-0000-0000-0000A11B0000}"/>
    <cellStyle name="Normal 15 2 3 4 2 2" xfId="10361" xr:uid="{00000000-0005-0000-0000-0000A21B0000}"/>
    <cellStyle name="Normal 15 2 3 4 3" xfId="7703" xr:uid="{00000000-0005-0000-0000-0000A31B0000}"/>
    <cellStyle name="Normal 15 2 3 5" xfId="2619" xr:uid="{00000000-0005-0000-0000-0000A41B0000}"/>
    <cellStyle name="Normal 15 2 3 5 2" xfId="5924" xr:uid="{00000000-0005-0000-0000-0000A51B0000}"/>
    <cellStyle name="Normal 15 2 3 5 2 2" xfId="11238" xr:uid="{00000000-0005-0000-0000-0000A61B0000}"/>
    <cellStyle name="Normal 15 2 3 5 3" xfId="8580" xr:uid="{00000000-0005-0000-0000-0000A71B0000}"/>
    <cellStyle name="Normal 15 2 3 6" xfId="3788" xr:uid="{00000000-0005-0000-0000-0000A81B0000}"/>
    <cellStyle name="Normal 15 2 3 6 2" xfId="9484" xr:uid="{00000000-0005-0000-0000-0000A91B0000}"/>
    <cellStyle name="Normal 15 2 3 7" xfId="6826" xr:uid="{00000000-0005-0000-0000-0000AA1B0000}"/>
    <cellStyle name="Normal 15 2 4" xfId="568" xr:uid="{00000000-0005-0000-0000-0000AB1B0000}"/>
    <cellStyle name="Normal 15 2 4 2" xfId="1255" xr:uid="{00000000-0005-0000-0000-0000AC1B0000}"/>
    <cellStyle name="Normal 15 2 4 2 2" xfId="2247" xr:uid="{00000000-0005-0000-0000-0000AD1B0000}"/>
    <cellStyle name="Normal 15 2 4 2 2 2" xfId="5594" xr:uid="{00000000-0005-0000-0000-0000AE1B0000}"/>
    <cellStyle name="Normal 15 2 4 2 2 2 2" xfId="10908" xr:uid="{00000000-0005-0000-0000-0000AF1B0000}"/>
    <cellStyle name="Normal 15 2 4 2 2 3" xfId="8250" xr:uid="{00000000-0005-0000-0000-0000B01B0000}"/>
    <cellStyle name="Normal 15 2 4 2 3" xfId="3168" xr:uid="{00000000-0005-0000-0000-0000B11B0000}"/>
    <cellStyle name="Normal 15 2 4 2 3 2" xfId="6471" xr:uid="{00000000-0005-0000-0000-0000B21B0000}"/>
    <cellStyle name="Normal 15 2 4 2 3 2 2" xfId="11785" xr:uid="{00000000-0005-0000-0000-0000B31B0000}"/>
    <cellStyle name="Normal 15 2 4 2 3 3" xfId="9127" xr:uid="{00000000-0005-0000-0000-0000B41B0000}"/>
    <cellStyle name="Normal 15 2 4 2 4" xfId="4647" xr:uid="{00000000-0005-0000-0000-0000B51B0000}"/>
    <cellStyle name="Normal 15 2 4 2 4 2" xfId="10031" xr:uid="{00000000-0005-0000-0000-0000B61B0000}"/>
    <cellStyle name="Normal 15 2 4 2 5" xfId="7373" xr:uid="{00000000-0005-0000-0000-0000B71B0000}"/>
    <cellStyle name="Normal 15 2 4 3" xfId="1809" xr:uid="{00000000-0005-0000-0000-0000B81B0000}"/>
    <cellStyle name="Normal 15 2 4 3 2" xfId="5158" xr:uid="{00000000-0005-0000-0000-0000B91B0000}"/>
    <cellStyle name="Normal 15 2 4 3 2 2" xfId="10472" xr:uid="{00000000-0005-0000-0000-0000BA1B0000}"/>
    <cellStyle name="Normal 15 2 4 3 3" xfId="7814" xr:uid="{00000000-0005-0000-0000-0000BB1B0000}"/>
    <cellStyle name="Normal 15 2 4 4" xfId="2730" xr:uid="{00000000-0005-0000-0000-0000BC1B0000}"/>
    <cellStyle name="Normal 15 2 4 4 2" xfId="6035" xr:uid="{00000000-0005-0000-0000-0000BD1B0000}"/>
    <cellStyle name="Normal 15 2 4 4 2 2" xfId="11349" xr:uid="{00000000-0005-0000-0000-0000BE1B0000}"/>
    <cellStyle name="Normal 15 2 4 4 3" xfId="8691" xr:uid="{00000000-0005-0000-0000-0000BF1B0000}"/>
    <cellStyle name="Normal 15 2 4 5" xfId="3962" xr:uid="{00000000-0005-0000-0000-0000C01B0000}"/>
    <cellStyle name="Normal 15 2 4 5 2" xfId="9595" xr:uid="{00000000-0005-0000-0000-0000C11B0000}"/>
    <cellStyle name="Normal 15 2 4 6" xfId="6937" xr:uid="{00000000-0005-0000-0000-0000C21B0000}"/>
    <cellStyle name="Normal 15 2 5" xfId="933" xr:uid="{00000000-0005-0000-0000-0000C31B0000}"/>
    <cellStyle name="Normal 15 2 5 2" xfId="2047" xr:uid="{00000000-0005-0000-0000-0000C41B0000}"/>
    <cellStyle name="Normal 15 2 5 2 2" xfId="5394" xr:uid="{00000000-0005-0000-0000-0000C51B0000}"/>
    <cellStyle name="Normal 15 2 5 2 2 2" xfId="10708" xr:uid="{00000000-0005-0000-0000-0000C61B0000}"/>
    <cellStyle name="Normal 15 2 5 2 3" xfId="8050" xr:uid="{00000000-0005-0000-0000-0000C71B0000}"/>
    <cellStyle name="Normal 15 2 5 3" xfId="2968" xr:uid="{00000000-0005-0000-0000-0000C81B0000}"/>
    <cellStyle name="Normal 15 2 5 3 2" xfId="6271" xr:uid="{00000000-0005-0000-0000-0000C91B0000}"/>
    <cellStyle name="Normal 15 2 5 3 2 2" xfId="11585" xr:uid="{00000000-0005-0000-0000-0000CA1B0000}"/>
    <cellStyle name="Normal 15 2 5 3 3" xfId="8927" xr:uid="{00000000-0005-0000-0000-0000CB1B0000}"/>
    <cellStyle name="Normal 15 2 5 4" xfId="4325" xr:uid="{00000000-0005-0000-0000-0000CC1B0000}"/>
    <cellStyle name="Normal 15 2 5 4 2" xfId="9831" xr:uid="{00000000-0005-0000-0000-0000CD1B0000}"/>
    <cellStyle name="Normal 15 2 5 5" xfId="7173" xr:uid="{00000000-0005-0000-0000-0000CE1B0000}"/>
    <cellStyle name="Normal 15 2 6" xfId="1603" xr:uid="{00000000-0005-0000-0000-0000CF1B0000}"/>
    <cellStyle name="Normal 15 2 6 2" xfId="4958" xr:uid="{00000000-0005-0000-0000-0000D01B0000}"/>
    <cellStyle name="Normal 15 2 6 2 2" xfId="10272" xr:uid="{00000000-0005-0000-0000-0000D11B0000}"/>
    <cellStyle name="Normal 15 2 6 3" xfId="7614" xr:uid="{00000000-0005-0000-0000-0000D21B0000}"/>
    <cellStyle name="Normal 15 2 7" xfId="2525" xr:uid="{00000000-0005-0000-0000-0000D31B0000}"/>
    <cellStyle name="Normal 15 2 7 2" xfId="5835" xr:uid="{00000000-0005-0000-0000-0000D41B0000}"/>
    <cellStyle name="Normal 15 2 7 2 2" xfId="11149" xr:uid="{00000000-0005-0000-0000-0000D51B0000}"/>
    <cellStyle name="Normal 15 2 7 3" xfId="8491" xr:uid="{00000000-0005-0000-0000-0000D61B0000}"/>
    <cellStyle name="Normal 15 2 8" xfId="3640" xr:uid="{00000000-0005-0000-0000-0000D71B0000}"/>
    <cellStyle name="Normal 15 2 8 2" xfId="9395" xr:uid="{00000000-0005-0000-0000-0000D81B0000}"/>
    <cellStyle name="Normal 15 2 9" xfId="6732" xr:uid="{00000000-0005-0000-0000-0000D91B0000}"/>
    <cellStyle name="Normal 15 3" xfId="219" xr:uid="{00000000-0005-0000-0000-0000DA1B0000}"/>
    <cellStyle name="Normal 15 3 2" xfId="414" xr:uid="{00000000-0005-0000-0000-0000DB1B0000}"/>
    <cellStyle name="Normal 15 3 2 2" xfId="737" xr:uid="{00000000-0005-0000-0000-0000DC1B0000}"/>
    <cellStyle name="Normal 15 3 2 2 2" xfId="1424" xr:uid="{00000000-0005-0000-0000-0000DD1B0000}"/>
    <cellStyle name="Normal 15 3 2 2 2 2" xfId="2356" xr:uid="{00000000-0005-0000-0000-0000DE1B0000}"/>
    <cellStyle name="Normal 15 3 2 2 2 2 2" xfId="5703" xr:uid="{00000000-0005-0000-0000-0000DF1B0000}"/>
    <cellStyle name="Normal 15 3 2 2 2 2 2 2" xfId="11017" xr:uid="{00000000-0005-0000-0000-0000E01B0000}"/>
    <cellStyle name="Normal 15 3 2 2 2 2 3" xfId="8359" xr:uid="{00000000-0005-0000-0000-0000E11B0000}"/>
    <cellStyle name="Normal 15 3 2 2 2 3" xfId="3277" xr:uid="{00000000-0005-0000-0000-0000E21B0000}"/>
    <cellStyle name="Normal 15 3 2 2 2 3 2" xfId="6580" xr:uid="{00000000-0005-0000-0000-0000E31B0000}"/>
    <cellStyle name="Normal 15 3 2 2 2 3 2 2" xfId="11894" xr:uid="{00000000-0005-0000-0000-0000E41B0000}"/>
    <cellStyle name="Normal 15 3 2 2 2 3 3" xfId="9236" xr:uid="{00000000-0005-0000-0000-0000E51B0000}"/>
    <cellStyle name="Normal 15 3 2 2 2 4" xfId="4816" xr:uid="{00000000-0005-0000-0000-0000E61B0000}"/>
    <cellStyle name="Normal 15 3 2 2 2 4 2" xfId="10140" xr:uid="{00000000-0005-0000-0000-0000E71B0000}"/>
    <cellStyle name="Normal 15 3 2 2 2 5" xfId="7482" xr:uid="{00000000-0005-0000-0000-0000E81B0000}"/>
    <cellStyle name="Normal 15 3 2 2 3" xfId="1918" xr:uid="{00000000-0005-0000-0000-0000E91B0000}"/>
    <cellStyle name="Normal 15 3 2 2 3 2" xfId="5267" xr:uid="{00000000-0005-0000-0000-0000EA1B0000}"/>
    <cellStyle name="Normal 15 3 2 2 3 2 2" xfId="10581" xr:uid="{00000000-0005-0000-0000-0000EB1B0000}"/>
    <cellStyle name="Normal 15 3 2 2 3 3" xfId="7923" xr:uid="{00000000-0005-0000-0000-0000EC1B0000}"/>
    <cellStyle name="Normal 15 3 2 2 4" xfId="2839" xr:uid="{00000000-0005-0000-0000-0000ED1B0000}"/>
    <cellStyle name="Normal 15 3 2 2 4 2" xfId="6144" xr:uid="{00000000-0005-0000-0000-0000EE1B0000}"/>
    <cellStyle name="Normal 15 3 2 2 4 2 2" xfId="11458" xr:uid="{00000000-0005-0000-0000-0000EF1B0000}"/>
    <cellStyle name="Normal 15 3 2 2 4 3" xfId="8800" xr:uid="{00000000-0005-0000-0000-0000F01B0000}"/>
    <cellStyle name="Normal 15 3 2 2 5" xfId="4131" xr:uid="{00000000-0005-0000-0000-0000F11B0000}"/>
    <cellStyle name="Normal 15 3 2 2 5 2" xfId="9704" xr:uid="{00000000-0005-0000-0000-0000F21B0000}"/>
    <cellStyle name="Normal 15 3 2 2 6" xfId="7046" xr:uid="{00000000-0005-0000-0000-0000F31B0000}"/>
    <cellStyle name="Normal 15 3 2 3" xfId="1102" xr:uid="{00000000-0005-0000-0000-0000F41B0000}"/>
    <cellStyle name="Normal 15 3 2 3 2" xfId="2156" xr:uid="{00000000-0005-0000-0000-0000F51B0000}"/>
    <cellStyle name="Normal 15 3 2 3 2 2" xfId="5503" xr:uid="{00000000-0005-0000-0000-0000F61B0000}"/>
    <cellStyle name="Normal 15 3 2 3 2 2 2" xfId="10817" xr:uid="{00000000-0005-0000-0000-0000F71B0000}"/>
    <cellStyle name="Normal 15 3 2 3 2 3" xfId="8159" xr:uid="{00000000-0005-0000-0000-0000F81B0000}"/>
    <cellStyle name="Normal 15 3 2 3 3" xfId="3077" xr:uid="{00000000-0005-0000-0000-0000F91B0000}"/>
    <cellStyle name="Normal 15 3 2 3 3 2" xfId="6380" xr:uid="{00000000-0005-0000-0000-0000FA1B0000}"/>
    <cellStyle name="Normal 15 3 2 3 3 2 2" xfId="11694" xr:uid="{00000000-0005-0000-0000-0000FB1B0000}"/>
    <cellStyle name="Normal 15 3 2 3 3 3" xfId="9036" xr:uid="{00000000-0005-0000-0000-0000FC1B0000}"/>
    <cellStyle name="Normal 15 3 2 3 4" xfId="4494" xr:uid="{00000000-0005-0000-0000-0000FD1B0000}"/>
    <cellStyle name="Normal 15 3 2 3 4 2" xfId="9940" xr:uid="{00000000-0005-0000-0000-0000FE1B0000}"/>
    <cellStyle name="Normal 15 3 2 3 5" xfId="7282" xr:uid="{00000000-0005-0000-0000-0000FF1B0000}"/>
    <cellStyle name="Normal 15 3 2 4" xfId="1718" xr:uid="{00000000-0005-0000-0000-0000001C0000}"/>
    <cellStyle name="Normal 15 3 2 4 2" xfId="5067" xr:uid="{00000000-0005-0000-0000-0000011C0000}"/>
    <cellStyle name="Normal 15 3 2 4 2 2" xfId="10381" xr:uid="{00000000-0005-0000-0000-0000021C0000}"/>
    <cellStyle name="Normal 15 3 2 4 3" xfId="7723" xr:uid="{00000000-0005-0000-0000-0000031C0000}"/>
    <cellStyle name="Normal 15 3 2 5" xfId="2639" xr:uid="{00000000-0005-0000-0000-0000041C0000}"/>
    <cellStyle name="Normal 15 3 2 5 2" xfId="5944" xr:uid="{00000000-0005-0000-0000-0000051C0000}"/>
    <cellStyle name="Normal 15 3 2 5 2 2" xfId="11258" xr:uid="{00000000-0005-0000-0000-0000061C0000}"/>
    <cellStyle name="Normal 15 3 2 5 3" xfId="8600" xr:uid="{00000000-0005-0000-0000-0000071C0000}"/>
    <cellStyle name="Normal 15 3 2 6" xfId="3809" xr:uid="{00000000-0005-0000-0000-0000081C0000}"/>
    <cellStyle name="Normal 15 3 2 6 2" xfId="9504" xr:uid="{00000000-0005-0000-0000-0000091C0000}"/>
    <cellStyle name="Normal 15 3 2 7" xfId="6846" xr:uid="{00000000-0005-0000-0000-00000A1C0000}"/>
    <cellStyle name="Normal 15 3 3" xfId="588" xr:uid="{00000000-0005-0000-0000-00000B1C0000}"/>
    <cellStyle name="Normal 15 3 3 2" xfId="1275" xr:uid="{00000000-0005-0000-0000-00000C1C0000}"/>
    <cellStyle name="Normal 15 3 3 2 2" xfId="2267" xr:uid="{00000000-0005-0000-0000-00000D1C0000}"/>
    <cellStyle name="Normal 15 3 3 2 2 2" xfId="5614" xr:uid="{00000000-0005-0000-0000-00000E1C0000}"/>
    <cellStyle name="Normal 15 3 3 2 2 2 2" xfId="10928" xr:uid="{00000000-0005-0000-0000-00000F1C0000}"/>
    <cellStyle name="Normal 15 3 3 2 2 3" xfId="8270" xr:uid="{00000000-0005-0000-0000-0000101C0000}"/>
    <cellStyle name="Normal 15 3 3 2 3" xfId="3188" xr:uid="{00000000-0005-0000-0000-0000111C0000}"/>
    <cellStyle name="Normal 15 3 3 2 3 2" xfId="6491" xr:uid="{00000000-0005-0000-0000-0000121C0000}"/>
    <cellStyle name="Normal 15 3 3 2 3 2 2" xfId="11805" xr:uid="{00000000-0005-0000-0000-0000131C0000}"/>
    <cellStyle name="Normal 15 3 3 2 3 3" xfId="9147" xr:uid="{00000000-0005-0000-0000-0000141C0000}"/>
    <cellStyle name="Normal 15 3 3 2 4" xfId="4667" xr:uid="{00000000-0005-0000-0000-0000151C0000}"/>
    <cellStyle name="Normal 15 3 3 2 4 2" xfId="10051" xr:uid="{00000000-0005-0000-0000-0000161C0000}"/>
    <cellStyle name="Normal 15 3 3 2 5" xfId="7393" xr:uid="{00000000-0005-0000-0000-0000171C0000}"/>
    <cellStyle name="Normal 15 3 3 3" xfId="1829" xr:uid="{00000000-0005-0000-0000-0000181C0000}"/>
    <cellStyle name="Normal 15 3 3 3 2" xfId="5178" xr:uid="{00000000-0005-0000-0000-0000191C0000}"/>
    <cellStyle name="Normal 15 3 3 3 2 2" xfId="10492" xr:uid="{00000000-0005-0000-0000-00001A1C0000}"/>
    <cellStyle name="Normal 15 3 3 3 3" xfId="7834" xr:uid="{00000000-0005-0000-0000-00001B1C0000}"/>
    <cellStyle name="Normal 15 3 3 4" xfId="2750" xr:uid="{00000000-0005-0000-0000-00001C1C0000}"/>
    <cellStyle name="Normal 15 3 3 4 2" xfId="6055" xr:uid="{00000000-0005-0000-0000-00001D1C0000}"/>
    <cellStyle name="Normal 15 3 3 4 2 2" xfId="11369" xr:uid="{00000000-0005-0000-0000-00001E1C0000}"/>
    <cellStyle name="Normal 15 3 3 4 3" xfId="8711" xr:uid="{00000000-0005-0000-0000-00001F1C0000}"/>
    <cellStyle name="Normal 15 3 3 5" xfId="3982" xr:uid="{00000000-0005-0000-0000-0000201C0000}"/>
    <cellStyle name="Normal 15 3 3 5 2" xfId="9615" xr:uid="{00000000-0005-0000-0000-0000211C0000}"/>
    <cellStyle name="Normal 15 3 3 6" xfId="6957" xr:uid="{00000000-0005-0000-0000-0000221C0000}"/>
    <cellStyle name="Normal 15 3 4" xfId="953" xr:uid="{00000000-0005-0000-0000-0000231C0000}"/>
    <cellStyle name="Normal 15 3 4 2" xfId="2067" xr:uid="{00000000-0005-0000-0000-0000241C0000}"/>
    <cellStyle name="Normal 15 3 4 2 2" xfId="5414" xr:uid="{00000000-0005-0000-0000-0000251C0000}"/>
    <cellStyle name="Normal 15 3 4 2 2 2" xfId="10728" xr:uid="{00000000-0005-0000-0000-0000261C0000}"/>
    <cellStyle name="Normal 15 3 4 2 3" xfId="8070" xr:uid="{00000000-0005-0000-0000-0000271C0000}"/>
    <cellStyle name="Normal 15 3 4 3" xfId="2988" xr:uid="{00000000-0005-0000-0000-0000281C0000}"/>
    <cellStyle name="Normal 15 3 4 3 2" xfId="6291" xr:uid="{00000000-0005-0000-0000-0000291C0000}"/>
    <cellStyle name="Normal 15 3 4 3 2 2" xfId="11605" xr:uid="{00000000-0005-0000-0000-00002A1C0000}"/>
    <cellStyle name="Normal 15 3 4 3 3" xfId="8947" xr:uid="{00000000-0005-0000-0000-00002B1C0000}"/>
    <cellStyle name="Normal 15 3 4 4" xfId="4345" xr:uid="{00000000-0005-0000-0000-00002C1C0000}"/>
    <cellStyle name="Normal 15 3 4 4 2" xfId="9851" xr:uid="{00000000-0005-0000-0000-00002D1C0000}"/>
    <cellStyle name="Normal 15 3 4 5" xfId="7193" xr:uid="{00000000-0005-0000-0000-00002E1C0000}"/>
    <cellStyle name="Normal 15 3 5" xfId="1628" xr:uid="{00000000-0005-0000-0000-00002F1C0000}"/>
    <cellStyle name="Normal 15 3 5 2" xfId="4978" xr:uid="{00000000-0005-0000-0000-0000301C0000}"/>
    <cellStyle name="Normal 15 3 5 2 2" xfId="10292" xr:uid="{00000000-0005-0000-0000-0000311C0000}"/>
    <cellStyle name="Normal 15 3 5 3" xfId="7634" xr:uid="{00000000-0005-0000-0000-0000321C0000}"/>
    <cellStyle name="Normal 15 3 6" xfId="2549" xr:uid="{00000000-0005-0000-0000-0000331C0000}"/>
    <cellStyle name="Normal 15 3 6 2" xfId="5855" xr:uid="{00000000-0005-0000-0000-0000341C0000}"/>
    <cellStyle name="Normal 15 3 6 2 2" xfId="11169" xr:uid="{00000000-0005-0000-0000-0000351C0000}"/>
    <cellStyle name="Normal 15 3 6 3" xfId="8511" xr:uid="{00000000-0005-0000-0000-0000361C0000}"/>
    <cellStyle name="Normal 15 3 7" xfId="3660" xr:uid="{00000000-0005-0000-0000-0000371C0000}"/>
    <cellStyle name="Normal 15 3 7 2" xfId="9415" xr:uid="{00000000-0005-0000-0000-0000381C0000}"/>
    <cellStyle name="Normal 15 3 8" xfId="6752" xr:uid="{00000000-0005-0000-0000-0000391C0000}"/>
    <cellStyle name="Normal 15 4" xfId="289" xr:uid="{00000000-0005-0000-0000-00003A1C0000}"/>
    <cellStyle name="Normal 15 4 2" xfId="439" xr:uid="{00000000-0005-0000-0000-00003B1C0000}"/>
    <cellStyle name="Normal 15 4 2 2" xfId="762" xr:uid="{00000000-0005-0000-0000-00003C1C0000}"/>
    <cellStyle name="Normal 15 4 2 2 2" xfId="1449" xr:uid="{00000000-0005-0000-0000-00003D1C0000}"/>
    <cellStyle name="Normal 15 4 2 2 2 2" xfId="2380" xr:uid="{00000000-0005-0000-0000-00003E1C0000}"/>
    <cellStyle name="Normal 15 4 2 2 2 2 2" xfId="5727" xr:uid="{00000000-0005-0000-0000-00003F1C0000}"/>
    <cellStyle name="Normal 15 4 2 2 2 2 2 2" xfId="11041" xr:uid="{00000000-0005-0000-0000-0000401C0000}"/>
    <cellStyle name="Normal 15 4 2 2 2 2 3" xfId="8383" xr:uid="{00000000-0005-0000-0000-0000411C0000}"/>
    <cellStyle name="Normal 15 4 2 2 2 3" xfId="3301" xr:uid="{00000000-0005-0000-0000-0000421C0000}"/>
    <cellStyle name="Normal 15 4 2 2 2 3 2" xfId="6604" xr:uid="{00000000-0005-0000-0000-0000431C0000}"/>
    <cellStyle name="Normal 15 4 2 2 2 3 2 2" xfId="11918" xr:uid="{00000000-0005-0000-0000-0000441C0000}"/>
    <cellStyle name="Normal 15 4 2 2 2 3 3" xfId="9260" xr:uid="{00000000-0005-0000-0000-0000451C0000}"/>
    <cellStyle name="Normal 15 4 2 2 2 4" xfId="4841" xr:uid="{00000000-0005-0000-0000-0000461C0000}"/>
    <cellStyle name="Normal 15 4 2 2 2 4 2" xfId="10164" xr:uid="{00000000-0005-0000-0000-0000471C0000}"/>
    <cellStyle name="Normal 15 4 2 2 2 5" xfId="7506" xr:uid="{00000000-0005-0000-0000-0000481C0000}"/>
    <cellStyle name="Normal 15 4 2 2 3" xfId="1942" xr:uid="{00000000-0005-0000-0000-0000491C0000}"/>
    <cellStyle name="Normal 15 4 2 2 3 2" xfId="5291" xr:uid="{00000000-0005-0000-0000-00004A1C0000}"/>
    <cellStyle name="Normal 15 4 2 2 3 2 2" xfId="10605" xr:uid="{00000000-0005-0000-0000-00004B1C0000}"/>
    <cellStyle name="Normal 15 4 2 2 3 3" xfId="7947" xr:uid="{00000000-0005-0000-0000-00004C1C0000}"/>
    <cellStyle name="Normal 15 4 2 2 4" xfId="2863" xr:uid="{00000000-0005-0000-0000-00004D1C0000}"/>
    <cellStyle name="Normal 15 4 2 2 4 2" xfId="6168" xr:uid="{00000000-0005-0000-0000-00004E1C0000}"/>
    <cellStyle name="Normal 15 4 2 2 4 2 2" xfId="11482" xr:uid="{00000000-0005-0000-0000-00004F1C0000}"/>
    <cellStyle name="Normal 15 4 2 2 4 3" xfId="8824" xr:uid="{00000000-0005-0000-0000-0000501C0000}"/>
    <cellStyle name="Normal 15 4 2 2 5" xfId="4156" xr:uid="{00000000-0005-0000-0000-0000511C0000}"/>
    <cellStyle name="Normal 15 4 2 2 5 2" xfId="9728" xr:uid="{00000000-0005-0000-0000-0000521C0000}"/>
    <cellStyle name="Normal 15 4 2 2 6" xfId="7070" xr:uid="{00000000-0005-0000-0000-0000531C0000}"/>
    <cellStyle name="Normal 15 4 2 3" xfId="1127" xr:uid="{00000000-0005-0000-0000-0000541C0000}"/>
    <cellStyle name="Normal 15 4 2 3 2" xfId="2180" xr:uid="{00000000-0005-0000-0000-0000551C0000}"/>
    <cellStyle name="Normal 15 4 2 3 2 2" xfId="5527" xr:uid="{00000000-0005-0000-0000-0000561C0000}"/>
    <cellStyle name="Normal 15 4 2 3 2 2 2" xfId="10841" xr:uid="{00000000-0005-0000-0000-0000571C0000}"/>
    <cellStyle name="Normal 15 4 2 3 2 3" xfId="8183" xr:uid="{00000000-0005-0000-0000-0000581C0000}"/>
    <cellStyle name="Normal 15 4 2 3 3" xfId="3101" xr:uid="{00000000-0005-0000-0000-0000591C0000}"/>
    <cellStyle name="Normal 15 4 2 3 3 2" xfId="6404" xr:uid="{00000000-0005-0000-0000-00005A1C0000}"/>
    <cellStyle name="Normal 15 4 2 3 3 2 2" xfId="11718" xr:uid="{00000000-0005-0000-0000-00005B1C0000}"/>
    <cellStyle name="Normal 15 4 2 3 3 3" xfId="9060" xr:uid="{00000000-0005-0000-0000-00005C1C0000}"/>
    <cellStyle name="Normal 15 4 2 3 4" xfId="4519" xr:uid="{00000000-0005-0000-0000-00005D1C0000}"/>
    <cellStyle name="Normal 15 4 2 3 4 2" xfId="9964" xr:uid="{00000000-0005-0000-0000-00005E1C0000}"/>
    <cellStyle name="Normal 15 4 2 3 5" xfId="7306" xr:uid="{00000000-0005-0000-0000-00005F1C0000}"/>
    <cellStyle name="Normal 15 4 2 4" xfId="1742" xr:uid="{00000000-0005-0000-0000-0000601C0000}"/>
    <cellStyle name="Normal 15 4 2 4 2" xfId="5091" xr:uid="{00000000-0005-0000-0000-0000611C0000}"/>
    <cellStyle name="Normal 15 4 2 4 2 2" xfId="10405" xr:uid="{00000000-0005-0000-0000-0000621C0000}"/>
    <cellStyle name="Normal 15 4 2 4 3" xfId="7747" xr:uid="{00000000-0005-0000-0000-0000631C0000}"/>
    <cellStyle name="Normal 15 4 2 5" xfId="2663" xr:uid="{00000000-0005-0000-0000-0000641C0000}"/>
    <cellStyle name="Normal 15 4 2 5 2" xfId="5968" xr:uid="{00000000-0005-0000-0000-0000651C0000}"/>
    <cellStyle name="Normal 15 4 2 5 2 2" xfId="11282" xr:uid="{00000000-0005-0000-0000-0000661C0000}"/>
    <cellStyle name="Normal 15 4 2 5 3" xfId="8624" xr:uid="{00000000-0005-0000-0000-0000671C0000}"/>
    <cellStyle name="Normal 15 4 2 6" xfId="3834" xr:uid="{00000000-0005-0000-0000-0000681C0000}"/>
    <cellStyle name="Normal 15 4 2 6 2" xfId="9528" xr:uid="{00000000-0005-0000-0000-0000691C0000}"/>
    <cellStyle name="Normal 15 4 2 7" xfId="6870" xr:uid="{00000000-0005-0000-0000-00006A1C0000}"/>
    <cellStyle name="Normal 15 4 3" xfId="613" xr:uid="{00000000-0005-0000-0000-00006B1C0000}"/>
    <cellStyle name="Normal 15 4 3 2" xfId="1300" xr:uid="{00000000-0005-0000-0000-00006C1C0000}"/>
    <cellStyle name="Normal 15 4 3 2 2" xfId="2291" xr:uid="{00000000-0005-0000-0000-00006D1C0000}"/>
    <cellStyle name="Normal 15 4 3 2 2 2" xfId="5638" xr:uid="{00000000-0005-0000-0000-00006E1C0000}"/>
    <cellStyle name="Normal 15 4 3 2 2 2 2" xfId="10952" xr:uid="{00000000-0005-0000-0000-00006F1C0000}"/>
    <cellStyle name="Normal 15 4 3 2 2 3" xfId="8294" xr:uid="{00000000-0005-0000-0000-0000701C0000}"/>
    <cellStyle name="Normal 15 4 3 2 3" xfId="3212" xr:uid="{00000000-0005-0000-0000-0000711C0000}"/>
    <cellStyle name="Normal 15 4 3 2 3 2" xfId="6515" xr:uid="{00000000-0005-0000-0000-0000721C0000}"/>
    <cellStyle name="Normal 15 4 3 2 3 2 2" xfId="11829" xr:uid="{00000000-0005-0000-0000-0000731C0000}"/>
    <cellStyle name="Normal 15 4 3 2 3 3" xfId="9171" xr:uid="{00000000-0005-0000-0000-0000741C0000}"/>
    <cellStyle name="Normal 15 4 3 2 4" xfId="4692" xr:uid="{00000000-0005-0000-0000-0000751C0000}"/>
    <cellStyle name="Normal 15 4 3 2 4 2" xfId="10075" xr:uid="{00000000-0005-0000-0000-0000761C0000}"/>
    <cellStyle name="Normal 15 4 3 2 5" xfId="7417" xr:uid="{00000000-0005-0000-0000-0000771C0000}"/>
    <cellStyle name="Normal 15 4 3 3" xfId="1853" xr:uid="{00000000-0005-0000-0000-0000781C0000}"/>
    <cellStyle name="Normal 15 4 3 3 2" xfId="5202" xr:uid="{00000000-0005-0000-0000-0000791C0000}"/>
    <cellStyle name="Normal 15 4 3 3 2 2" xfId="10516" xr:uid="{00000000-0005-0000-0000-00007A1C0000}"/>
    <cellStyle name="Normal 15 4 3 3 3" xfId="7858" xr:uid="{00000000-0005-0000-0000-00007B1C0000}"/>
    <cellStyle name="Normal 15 4 3 4" xfId="2774" xr:uid="{00000000-0005-0000-0000-00007C1C0000}"/>
    <cellStyle name="Normal 15 4 3 4 2" xfId="6079" xr:uid="{00000000-0005-0000-0000-00007D1C0000}"/>
    <cellStyle name="Normal 15 4 3 4 2 2" xfId="11393" xr:uid="{00000000-0005-0000-0000-00007E1C0000}"/>
    <cellStyle name="Normal 15 4 3 4 3" xfId="8735" xr:uid="{00000000-0005-0000-0000-00007F1C0000}"/>
    <cellStyle name="Normal 15 4 3 5" xfId="4007" xr:uid="{00000000-0005-0000-0000-0000801C0000}"/>
    <cellStyle name="Normal 15 4 3 5 2" xfId="9639" xr:uid="{00000000-0005-0000-0000-0000811C0000}"/>
    <cellStyle name="Normal 15 4 3 6" xfId="6981" xr:uid="{00000000-0005-0000-0000-0000821C0000}"/>
    <cellStyle name="Normal 15 4 4" xfId="978" xr:uid="{00000000-0005-0000-0000-0000831C0000}"/>
    <cellStyle name="Normal 15 4 4 2" xfId="2091" xr:uid="{00000000-0005-0000-0000-0000841C0000}"/>
    <cellStyle name="Normal 15 4 4 2 2" xfId="5438" xr:uid="{00000000-0005-0000-0000-0000851C0000}"/>
    <cellStyle name="Normal 15 4 4 2 2 2" xfId="10752" xr:uid="{00000000-0005-0000-0000-0000861C0000}"/>
    <cellStyle name="Normal 15 4 4 2 3" xfId="8094" xr:uid="{00000000-0005-0000-0000-0000871C0000}"/>
    <cellStyle name="Normal 15 4 4 3" xfId="3012" xr:uid="{00000000-0005-0000-0000-0000881C0000}"/>
    <cellStyle name="Normal 15 4 4 3 2" xfId="6315" xr:uid="{00000000-0005-0000-0000-0000891C0000}"/>
    <cellStyle name="Normal 15 4 4 3 2 2" xfId="11629" xr:uid="{00000000-0005-0000-0000-00008A1C0000}"/>
    <cellStyle name="Normal 15 4 4 3 3" xfId="8971" xr:uid="{00000000-0005-0000-0000-00008B1C0000}"/>
    <cellStyle name="Normal 15 4 4 4" xfId="4370" xr:uid="{00000000-0005-0000-0000-00008C1C0000}"/>
    <cellStyle name="Normal 15 4 4 4 2" xfId="9875" xr:uid="{00000000-0005-0000-0000-00008D1C0000}"/>
    <cellStyle name="Normal 15 4 4 5" xfId="7217" xr:uid="{00000000-0005-0000-0000-00008E1C0000}"/>
    <cellStyle name="Normal 15 4 5" xfId="1653" xr:uid="{00000000-0005-0000-0000-00008F1C0000}"/>
    <cellStyle name="Normal 15 4 5 2" xfId="5002" xr:uid="{00000000-0005-0000-0000-0000901C0000}"/>
    <cellStyle name="Normal 15 4 5 2 2" xfId="10316" xr:uid="{00000000-0005-0000-0000-0000911C0000}"/>
    <cellStyle name="Normal 15 4 5 3" xfId="7658" xr:uid="{00000000-0005-0000-0000-0000921C0000}"/>
    <cellStyle name="Normal 15 4 6" xfId="2574" xr:uid="{00000000-0005-0000-0000-0000931C0000}"/>
    <cellStyle name="Normal 15 4 6 2" xfId="5879" xr:uid="{00000000-0005-0000-0000-0000941C0000}"/>
    <cellStyle name="Normal 15 4 6 2 2" xfId="11193" xr:uid="{00000000-0005-0000-0000-0000951C0000}"/>
    <cellStyle name="Normal 15 4 6 3" xfId="8535" xr:uid="{00000000-0005-0000-0000-0000961C0000}"/>
    <cellStyle name="Normal 15 4 7" xfId="3685" xr:uid="{00000000-0005-0000-0000-0000971C0000}"/>
    <cellStyle name="Normal 15 4 7 2" xfId="9439" xr:uid="{00000000-0005-0000-0000-0000981C0000}"/>
    <cellStyle name="Normal 15 4 8" xfId="6781" xr:uid="{00000000-0005-0000-0000-0000991C0000}"/>
    <cellStyle name="Normal 15 5" xfId="315" xr:uid="{00000000-0005-0000-0000-00009A1C0000}"/>
    <cellStyle name="Normal 15 5 2" xfId="638" xr:uid="{00000000-0005-0000-0000-00009B1C0000}"/>
    <cellStyle name="Normal 15 5 2 2" xfId="1325" xr:uid="{00000000-0005-0000-0000-00009C1C0000}"/>
    <cellStyle name="Normal 15 5 2 2 2" xfId="2315" xr:uid="{00000000-0005-0000-0000-00009D1C0000}"/>
    <cellStyle name="Normal 15 5 2 2 2 2" xfId="5662" xr:uid="{00000000-0005-0000-0000-00009E1C0000}"/>
    <cellStyle name="Normal 15 5 2 2 2 2 2" xfId="10976" xr:uid="{00000000-0005-0000-0000-00009F1C0000}"/>
    <cellStyle name="Normal 15 5 2 2 2 3" xfId="8318" xr:uid="{00000000-0005-0000-0000-0000A01C0000}"/>
    <cellStyle name="Normal 15 5 2 2 3" xfId="3236" xr:uid="{00000000-0005-0000-0000-0000A11C0000}"/>
    <cellStyle name="Normal 15 5 2 2 3 2" xfId="6539" xr:uid="{00000000-0005-0000-0000-0000A21C0000}"/>
    <cellStyle name="Normal 15 5 2 2 3 2 2" xfId="11853" xr:uid="{00000000-0005-0000-0000-0000A31C0000}"/>
    <cellStyle name="Normal 15 5 2 2 3 3" xfId="9195" xr:uid="{00000000-0005-0000-0000-0000A41C0000}"/>
    <cellStyle name="Normal 15 5 2 2 4" xfId="4717" xr:uid="{00000000-0005-0000-0000-0000A51C0000}"/>
    <cellStyle name="Normal 15 5 2 2 4 2" xfId="10099" xr:uid="{00000000-0005-0000-0000-0000A61C0000}"/>
    <cellStyle name="Normal 15 5 2 2 5" xfId="7441" xr:uid="{00000000-0005-0000-0000-0000A71C0000}"/>
    <cellStyle name="Normal 15 5 2 3" xfId="1877" xr:uid="{00000000-0005-0000-0000-0000A81C0000}"/>
    <cellStyle name="Normal 15 5 2 3 2" xfId="5226" xr:uid="{00000000-0005-0000-0000-0000A91C0000}"/>
    <cellStyle name="Normal 15 5 2 3 2 2" xfId="10540" xr:uid="{00000000-0005-0000-0000-0000AA1C0000}"/>
    <cellStyle name="Normal 15 5 2 3 3" xfId="7882" xr:uid="{00000000-0005-0000-0000-0000AB1C0000}"/>
    <cellStyle name="Normal 15 5 2 4" xfId="2798" xr:uid="{00000000-0005-0000-0000-0000AC1C0000}"/>
    <cellStyle name="Normal 15 5 2 4 2" xfId="6103" xr:uid="{00000000-0005-0000-0000-0000AD1C0000}"/>
    <cellStyle name="Normal 15 5 2 4 2 2" xfId="11417" xr:uid="{00000000-0005-0000-0000-0000AE1C0000}"/>
    <cellStyle name="Normal 15 5 2 4 3" xfId="8759" xr:uid="{00000000-0005-0000-0000-0000AF1C0000}"/>
    <cellStyle name="Normal 15 5 2 5" xfId="4032" xr:uid="{00000000-0005-0000-0000-0000B01C0000}"/>
    <cellStyle name="Normal 15 5 2 5 2" xfId="9663" xr:uid="{00000000-0005-0000-0000-0000B11C0000}"/>
    <cellStyle name="Normal 15 5 2 6" xfId="7005" xr:uid="{00000000-0005-0000-0000-0000B21C0000}"/>
    <cellStyle name="Normal 15 5 3" xfId="1003" xr:uid="{00000000-0005-0000-0000-0000B31C0000}"/>
    <cellStyle name="Normal 15 5 3 2" xfId="2115" xr:uid="{00000000-0005-0000-0000-0000B41C0000}"/>
    <cellStyle name="Normal 15 5 3 2 2" xfId="5462" xr:uid="{00000000-0005-0000-0000-0000B51C0000}"/>
    <cellStyle name="Normal 15 5 3 2 2 2" xfId="10776" xr:uid="{00000000-0005-0000-0000-0000B61C0000}"/>
    <cellStyle name="Normal 15 5 3 2 3" xfId="8118" xr:uid="{00000000-0005-0000-0000-0000B71C0000}"/>
    <cellStyle name="Normal 15 5 3 3" xfId="3036" xr:uid="{00000000-0005-0000-0000-0000B81C0000}"/>
    <cellStyle name="Normal 15 5 3 3 2" xfId="6339" xr:uid="{00000000-0005-0000-0000-0000B91C0000}"/>
    <cellStyle name="Normal 15 5 3 3 2 2" xfId="11653" xr:uid="{00000000-0005-0000-0000-0000BA1C0000}"/>
    <cellStyle name="Normal 15 5 3 3 3" xfId="8995" xr:uid="{00000000-0005-0000-0000-0000BB1C0000}"/>
    <cellStyle name="Normal 15 5 3 4" xfId="4395" xr:uid="{00000000-0005-0000-0000-0000BC1C0000}"/>
    <cellStyle name="Normal 15 5 3 4 2" xfId="9899" xr:uid="{00000000-0005-0000-0000-0000BD1C0000}"/>
    <cellStyle name="Normal 15 5 3 5" xfId="7241" xr:uid="{00000000-0005-0000-0000-0000BE1C0000}"/>
    <cellStyle name="Normal 15 5 4" xfId="1677" xr:uid="{00000000-0005-0000-0000-0000BF1C0000}"/>
    <cellStyle name="Normal 15 5 4 2" xfId="5026" xr:uid="{00000000-0005-0000-0000-0000C01C0000}"/>
    <cellStyle name="Normal 15 5 4 2 2" xfId="10340" xr:uid="{00000000-0005-0000-0000-0000C11C0000}"/>
    <cellStyle name="Normal 15 5 4 3" xfId="7682" xr:uid="{00000000-0005-0000-0000-0000C21C0000}"/>
    <cellStyle name="Normal 15 5 5" xfId="2598" xr:uid="{00000000-0005-0000-0000-0000C31C0000}"/>
    <cellStyle name="Normal 15 5 5 2" xfId="5903" xr:uid="{00000000-0005-0000-0000-0000C41C0000}"/>
    <cellStyle name="Normal 15 5 5 2 2" xfId="11217" xr:uid="{00000000-0005-0000-0000-0000C51C0000}"/>
    <cellStyle name="Normal 15 5 5 3" xfId="8559" xr:uid="{00000000-0005-0000-0000-0000C61C0000}"/>
    <cellStyle name="Normal 15 5 6" xfId="3710" xr:uid="{00000000-0005-0000-0000-0000C71C0000}"/>
    <cellStyle name="Normal 15 5 6 2" xfId="9463" xr:uid="{00000000-0005-0000-0000-0000C81C0000}"/>
    <cellStyle name="Normal 15 5 7" xfId="6805" xr:uid="{00000000-0005-0000-0000-0000C91C0000}"/>
    <cellStyle name="Normal 15 6" xfId="828" xr:uid="{00000000-0005-0000-0000-0000CA1C0000}"/>
    <cellStyle name="Normal 15 6 2" xfId="1514" xr:uid="{00000000-0005-0000-0000-0000CB1C0000}"/>
    <cellStyle name="Normal 15 6 2 2" xfId="2436" xr:uid="{00000000-0005-0000-0000-0000CC1C0000}"/>
    <cellStyle name="Normal 15 6 2 2 2" xfId="5783" xr:uid="{00000000-0005-0000-0000-0000CD1C0000}"/>
    <cellStyle name="Normal 15 6 2 2 2 2" xfId="11097" xr:uid="{00000000-0005-0000-0000-0000CE1C0000}"/>
    <cellStyle name="Normal 15 6 2 2 3" xfId="8439" xr:uid="{00000000-0005-0000-0000-0000CF1C0000}"/>
    <cellStyle name="Normal 15 6 2 3" xfId="3357" xr:uid="{00000000-0005-0000-0000-0000D01C0000}"/>
    <cellStyle name="Normal 15 6 2 3 2" xfId="6660" xr:uid="{00000000-0005-0000-0000-0000D11C0000}"/>
    <cellStyle name="Normal 15 6 2 3 2 2" xfId="11974" xr:uid="{00000000-0005-0000-0000-0000D21C0000}"/>
    <cellStyle name="Normal 15 6 2 3 3" xfId="9316" xr:uid="{00000000-0005-0000-0000-0000D31C0000}"/>
    <cellStyle name="Normal 15 6 2 4" xfId="4906" xr:uid="{00000000-0005-0000-0000-0000D41C0000}"/>
    <cellStyle name="Normal 15 6 2 4 2" xfId="10220" xr:uid="{00000000-0005-0000-0000-0000D51C0000}"/>
    <cellStyle name="Normal 15 6 2 5" xfId="7562" xr:uid="{00000000-0005-0000-0000-0000D61C0000}"/>
    <cellStyle name="Normal 15 6 3" xfId="1999" xr:uid="{00000000-0005-0000-0000-0000D71C0000}"/>
    <cellStyle name="Normal 15 6 3 2" xfId="5347" xr:uid="{00000000-0005-0000-0000-0000D81C0000}"/>
    <cellStyle name="Normal 15 6 3 2 2" xfId="10661" xr:uid="{00000000-0005-0000-0000-0000D91C0000}"/>
    <cellStyle name="Normal 15 6 3 3" xfId="8003" xr:uid="{00000000-0005-0000-0000-0000DA1C0000}"/>
    <cellStyle name="Normal 15 6 4" xfId="2920" xr:uid="{00000000-0005-0000-0000-0000DB1C0000}"/>
    <cellStyle name="Normal 15 6 4 2" xfId="6224" xr:uid="{00000000-0005-0000-0000-0000DC1C0000}"/>
    <cellStyle name="Normal 15 6 4 2 2" xfId="11538" xr:uid="{00000000-0005-0000-0000-0000DD1C0000}"/>
    <cellStyle name="Normal 15 6 4 3" xfId="8880" xr:uid="{00000000-0005-0000-0000-0000DE1C0000}"/>
    <cellStyle name="Normal 15 6 5" xfId="4221" xr:uid="{00000000-0005-0000-0000-0000DF1C0000}"/>
    <cellStyle name="Normal 15 6 5 2" xfId="9784" xr:uid="{00000000-0005-0000-0000-0000E01C0000}"/>
    <cellStyle name="Normal 15 6 6" xfId="7126" xr:uid="{00000000-0005-0000-0000-0000E11C0000}"/>
    <cellStyle name="Normal 15 7" xfId="490" xr:uid="{00000000-0005-0000-0000-0000E21C0000}"/>
    <cellStyle name="Normal 15 7 2" xfId="1177" xr:uid="{00000000-0005-0000-0000-0000E31C0000}"/>
    <cellStyle name="Normal 15 7 2 2" xfId="2226" xr:uid="{00000000-0005-0000-0000-0000E41C0000}"/>
    <cellStyle name="Normal 15 7 2 2 2" xfId="5573" xr:uid="{00000000-0005-0000-0000-0000E51C0000}"/>
    <cellStyle name="Normal 15 7 2 2 2 2" xfId="10887" xr:uid="{00000000-0005-0000-0000-0000E61C0000}"/>
    <cellStyle name="Normal 15 7 2 2 3" xfId="8229" xr:uid="{00000000-0005-0000-0000-0000E71C0000}"/>
    <cellStyle name="Normal 15 7 2 3" xfId="3147" xr:uid="{00000000-0005-0000-0000-0000E81C0000}"/>
    <cellStyle name="Normal 15 7 2 3 2" xfId="6450" xr:uid="{00000000-0005-0000-0000-0000E91C0000}"/>
    <cellStyle name="Normal 15 7 2 3 2 2" xfId="11764" xr:uid="{00000000-0005-0000-0000-0000EA1C0000}"/>
    <cellStyle name="Normal 15 7 2 3 3" xfId="9106" xr:uid="{00000000-0005-0000-0000-0000EB1C0000}"/>
    <cellStyle name="Normal 15 7 2 4" xfId="4569" xr:uid="{00000000-0005-0000-0000-0000EC1C0000}"/>
    <cellStyle name="Normal 15 7 2 4 2" xfId="10010" xr:uid="{00000000-0005-0000-0000-0000ED1C0000}"/>
    <cellStyle name="Normal 15 7 2 5" xfId="7352" xr:uid="{00000000-0005-0000-0000-0000EE1C0000}"/>
    <cellStyle name="Normal 15 7 3" xfId="1788" xr:uid="{00000000-0005-0000-0000-0000EF1C0000}"/>
    <cellStyle name="Normal 15 7 3 2" xfId="5137" xr:uid="{00000000-0005-0000-0000-0000F01C0000}"/>
    <cellStyle name="Normal 15 7 3 2 2" xfId="10451" xr:uid="{00000000-0005-0000-0000-0000F11C0000}"/>
    <cellStyle name="Normal 15 7 3 3" xfId="7793" xr:uid="{00000000-0005-0000-0000-0000F21C0000}"/>
    <cellStyle name="Normal 15 7 4" xfId="2709" xr:uid="{00000000-0005-0000-0000-0000F31C0000}"/>
    <cellStyle name="Normal 15 7 4 2" xfId="6014" xr:uid="{00000000-0005-0000-0000-0000F41C0000}"/>
    <cellStyle name="Normal 15 7 4 2 2" xfId="11328" xr:uid="{00000000-0005-0000-0000-0000F51C0000}"/>
    <cellStyle name="Normal 15 7 4 3" xfId="8670" xr:uid="{00000000-0005-0000-0000-0000F61C0000}"/>
    <cellStyle name="Normal 15 7 5" xfId="3884" xr:uid="{00000000-0005-0000-0000-0000F71C0000}"/>
    <cellStyle name="Normal 15 7 5 2" xfId="9574" xr:uid="{00000000-0005-0000-0000-0000F81C0000}"/>
    <cellStyle name="Normal 15 7 6" xfId="6916" xr:uid="{00000000-0005-0000-0000-0000F91C0000}"/>
    <cellStyle name="Normal 15 8" xfId="855" xr:uid="{00000000-0005-0000-0000-0000FA1C0000}"/>
    <cellStyle name="Normal 15 8 2" xfId="2026" xr:uid="{00000000-0005-0000-0000-0000FB1C0000}"/>
    <cellStyle name="Normal 15 8 2 2" xfId="5373" xr:uid="{00000000-0005-0000-0000-0000FC1C0000}"/>
    <cellStyle name="Normal 15 8 2 2 2" xfId="10687" xr:uid="{00000000-0005-0000-0000-0000FD1C0000}"/>
    <cellStyle name="Normal 15 8 2 3" xfId="8029" xr:uid="{00000000-0005-0000-0000-0000FE1C0000}"/>
    <cellStyle name="Normal 15 8 3" xfId="2947" xr:uid="{00000000-0005-0000-0000-0000FF1C0000}"/>
    <cellStyle name="Normal 15 8 3 2" xfId="6250" xr:uid="{00000000-0005-0000-0000-0000001D0000}"/>
    <cellStyle name="Normal 15 8 3 2 2" xfId="11564" xr:uid="{00000000-0005-0000-0000-0000011D0000}"/>
    <cellStyle name="Normal 15 8 3 3" xfId="8906" xr:uid="{00000000-0005-0000-0000-0000021D0000}"/>
    <cellStyle name="Normal 15 8 4" xfId="4247" xr:uid="{00000000-0005-0000-0000-0000031D0000}"/>
    <cellStyle name="Normal 15 8 4 2" xfId="9810" xr:uid="{00000000-0005-0000-0000-0000041D0000}"/>
    <cellStyle name="Normal 15 8 5" xfId="7152" xr:uid="{00000000-0005-0000-0000-0000051D0000}"/>
    <cellStyle name="Normal 15 9" xfId="1550" xr:uid="{00000000-0005-0000-0000-0000061D0000}"/>
    <cellStyle name="Normal 15 9 2" xfId="4937" xr:uid="{00000000-0005-0000-0000-0000071D0000}"/>
    <cellStyle name="Normal 15 9 2 2" xfId="10251" xr:uid="{00000000-0005-0000-0000-0000081D0000}"/>
    <cellStyle name="Normal 15 9 3" xfId="7593" xr:uid="{00000000-0005-0000-0000-0000091D0000}"/>
    <cellStyle name="Normal 16" xfId="73" xr:uid="{00000000-0005-0000-0000-00000A1D0000}"/>
    <cellStyle name="Normal 16 10" xfId="1549" xr:uid="{00000000-0005-0000-0000-00000B1D0000}"/>
    <cellStyle name="Normal 16 10 2" xfId="4936" xr:uid="{00000000-0005-0000-0000-00000C1D0000}"/>
    <cellStyle name="Normal 16 10 2 2" xfId="10250" xr:uid="{00000000-0005-0000-0000-00000D1D0000}"/>
    <cellStyle name="Normal 16 10 3" xfId="7592" xr:uid="{00000000-0005-0000-0000-00000E1D0000}"/>
    <cellStyle name="Normal 16 11" xfId="2471" xr:uid="{00000000-0005-0000-0000-00000F1D0000}"/>
    <cellStyle name="Normal 16 11 2" xfId="5813" xr:uid="{00000000-0005-0000-0000-0000101D0000}"/>
    <cellStyle name="Normal 16 11 2 2" xfId="11127" xr:uid="{00000000-0005-0000-0000-0000111D0000}"/>
    <cellStyle name="Normal 16 11 3" xfId="8469" xr:uid="{00000000-0005-0000-0000-0000121D0000}"/>
    <cellStyle name="Normal 16 12" xfId="3507" xr:uid="{00000000-0005-0000-0000-0000131D0000}"/>
    <cellStyle name="Normal 16 13" xfId="3561" xr:uid="{00000000-0005-0000-0000-0000141D0000}"/>
    <cellStyle name="Normal 16 13 2" xfId="9373" xr:uid="{00000000-0005-0000-0000-0000151D0000}"/>
    <cellStyle name="Normal 16 14" xfId="6710" xr:uid="{00000000-0005-0000-0000-0000161D0000}"/>
    <cellStyle name="Normal 16 2" xfId="192" xr:uid="{00000000-0005-0000-0000-0000171D0000}"/>
    <cellStyle name="Normal 16 2 2" xfId="230" xr:uid="{00000000-0005-0000-0000-0000181D0000}"/>
    <cellStyle name="Normal 16 2 2 2" xfId="233" xr:uid="{00000000-0005-0000-0000-0000191D0000}"/>
    <cellStyle name="Normal 16 2 2 2 10" xfId="3674" xr:uid="{00000000-0005-0000-0000-00001A1D0000}"/>
    <cellStyle name="Normal 16 2 2 2 10 2" xfId="9429" xr:uid="{00000000-0005-0000-0000-00001B1D0000}"/>
    <cellStyle name="Normal 16 2 2 2 11" xfId="6766" xr:uid="{00000000-0005-0000-0000-00001C1D0000}"/>
    <cellStyle name="Normal 16 2 2 2 2" xfId="297" xr:uid="{00000000-0005-0000-0000-00001D1D0000}"/>
    <cellStyle name="Normal 16 2 2 2 2 2" xfId="306" xr:uid="{00000000-0005-0000-0000-00001E1D0000}"/>
    <cellStyle name="Normal 16 2 2 2 2 2 2" xfId="464" xr:uid="{00000000-0005-0000-0000-00001F1D0000}"/>
    <cellStyle name="Normal 16 2 2 2 2 2 2 2" xfId="476" xr:uid="{00000000-0005-0000-0000-0000201D0000}"/>
    <cellStyle name="Normal 16 2 2 2 2 2 2 2 2" xfId="831" xr:uid="{00000000-0005-0000-0000-0000211D0000}"/>
    <cellStyle name="Normal 16 2 2 2 2 2 2 2 2 2" xfId="1516" xr:uid="{00000000-0005-0000-0000-0000221D0000}"/>
    <cellStyle name="Normal 16 2 2 2 2 2 2 2 2 2 2" xfId="2438" xr:uid="{00000000-0005-0000-0000-0000231D0000}"/>
    <cellStyle name="Normal 16 2 2 2 2 2 2 2 2 2 2 2" xfId="5785" xr:uid="{00000000-0005-0000-0000-0000241D0000}"/>
    <cellStyle name="Normal 16 2 2 2 2 2 2 2 2 2 2 2 2" xfId="11099" xr:uid="{00000000-0005-0000-0000-0000251D0000}"/>
    <cellStyle name="Normal 16 2 2 2 2 2 2 2 2 2 2 3" xfId="8441" xr:uid="{00000000-0005-0000-0000-0000261D0000}"/>
    <cellStyle name="Normal 16 2 2 2 2 2 2 2 2 2 3" xfId="3359" xr:uid="{00000000-0005-0000-0000-0000271D0000}"/>
    <cellStyle name="Normal 16 2 2 2 2 2 2 2 2 2 3 2" xfId="6662" xr:uid="{00000000-0005-0000-0000-0000281D0000}"/>
    <cellStyle name="Normal 16 2 2 2 2 2 2 2 2 2 3 2 2" xfId="11976" xr:uid="{00000000-0005-0000-0000-0000291D0000}"/>
    <cellStyle name="Normal 16 2 2 2 2 2 2 2 2 2 3 3" xfId="9318" xr:uid="{00000000-0005-0000-0000-00002A1D0000}"/>
    <cellStyle name="Normal 16 2 2 2 2 2 2 2 2 2 4" xfId="4908" xr:uid="{00000000-0005-0000-0000-00002B1D0000}"/>
    <cellStyle name="Normal 16 2 2 2 2 2 2 2 2 2 4 2" xfId="10222" xr:uid="{00000000-0005-0000-0000-00002C1D0000}"/>
    <cellStyle name="Normal 16 2 2 2 2 2 2 2 2 2 5" xfId="7564" xr:uid="{00000000-0005-0000-0000-00002D1D0000}"/>
    <cellStyle name="Normal 16 2 2 2 2 2 2 2 2 3" xfId="2002" xr:uid="{00000000-0005-0000-0000-00002E1D0000}"/>
    <cellStyle name="Normal 16 2 2 2 2 2 2 2 2 3 2" xfId="5349" xr:uid="{00000000-0005-0000-0000-00002F1D0000}"/>
    <cellStyle name="Normal 16 2 2 2 2 2 2 2 2 3 2 2" xfId="10663" xr:uid="{00000000-0005-0000-0000-0000301D0000}"/>
    <cellStyle name="Normal 16 2 2 2 2 2 2 2 2 3 3" xfId="8005" xr:uid="{00000000-0005-0000-0000-0000311D0000}"/>
    <cellStyle name="Normal 16 2 2 2 2 2 2 2 2 4" xfId="2923" xr:uid="{00000000-0005-0000-0000-0000321D0000}"/>
    <cellStyle name="Normal 16 2 2 2 2 2 2 2 2 4 2" xfId="6226" xr:uid="{00000000-0005-0000-0000-0000331D0000}"/>
    <cellStyle name="Normal 16 2 2 2 2 2 2 2 2 4 2 2" xfId="11540" xr:uid="{00000000-0005-0000-0000-0000341D0000}"/>
    <cellStyle name="Normal 16 2 2 2 2 2 2 2 2 4 3" xfId="8882" xr:uid="{00000000-0005-0000-0000-0000351D0000}"/>
    <cellStyle name="Normal 16 2 2 2 2 2 2 2 2 5" xfId="4223" xr:uid="{00000000-0005-0000-0000-0000361D0000}"/>
    <cellStyle name="Normal 16 2 2 2 2 2 2 2 2 5 2" xfId="9786" xr:uid="{00000000-0005-0000-0000-0000371D0000}"/>
    <cellStyle name="Normal 16 2 2 2 2 2 2 2 2 6" xfId="7128" xr:uid="{00000000-0005-0000-0000-0000381D0000}"/>
    <cellStyle name="Normal 16 2 2 2 2 2 2 2 3" xfId="798" xr:uid="{00000000-0005-0000-0000-0000391D0000}"/>
    <cellStyle name="Normal 16 2 2 2 2 2 2 2 3 2" xfId="1485" xr:uid="{00000000-0005-0000-0000-00003A1D0000}"/>
    <cellStyle name="Normal 16 2 2 2 2 2 2 2 3 2 2" xfId="2413" xr:uid="{00000000-0005-0000-0000-00003B1D0000}"/>
    <cellStyle name="Normal 16 2 2 2 2 2 2 2 3 2 2 2" xfId="5760" xr:uid="{00000000-0005-0000-0000-00003C1D0000}"/>
    <cellStyle name="Normal 16 2 2 2 2 2 2 2 3 2 2 2 2" xfId="11074" xr:uid="{00000000-0005-0000-0000-00003D1D0000}"/>
    <cellStyle name="Normal 16 2 2 2 2 2 2 2 3 2 2 3" xfId="8416" xr:uid="{00000000-0005-0000-0000-00003E1D0000}"/>
    <cellStyle name="Normal 16 2 2 2 2 2 2 2 3 2 3" xfId="3334" xr:uid="{00000000-0005-0000-0000-00003F1D0000}"/>
    <cellStyle name="Normal 16 2 2 2 2 2 2 2 3 2 3 2" xfId="6637" xr:uid="{00000000-0005-0000-0000-0000401D0000}"/>
    <cellStyle name="Normal 16 2 2 2 2 2 2 2 3 2 3 2 2" xfId="11951" xr:uid="{00000000-0005-0000-0000-0000411D0000}"/>
    <cellStyle name="Normal 16 2 2 2 2 2 2 2 3 2 3 3" xfId="9293" xr:uid="{00000000-0005-0000-0000-0000421D0000}"/>
    <cellStyle name="Normal 16 2 2 2 2 2 2 2 3 2 4" xfId="4877" xr:uid="{00000000-0005-0000-0000-0000431D0000}"/>
    <cellStyle name="Normal 16 2 2 2 2 2 2 2 3 2 4 2" xfId="10197" xr:uid="{00000000-0005-0000-0000-0000441D0000}"/>
    <cellStyle name="Normal 16 2 2 2 2 2 2 2 3 2 5" xfId="7539" xr:uid="{00000000-0005-0000-0000-0000451D0000}"/>
    <cellStyle name="Normal 16 2 2 2 2 2 2 2 3 3" xfId="1975" xr:uid="{00000000-0005-0000-0000-0000461D0000}"/>
    <cellStyle name="Normal 16 2 2 2 2 2 2 2 3 3 2" xfId="5324" xr:uid="{00000000-0005-0000-0000-0000471D0000}"/>
    <cellStyle name="Normal 16 2 2 2 2 2 2 2 3 3 2 2" xfId="10638" xr:uid="{00000000-0005-0000-0000-0000481D0000}"/>
    <cellStyle name="Normal 16 2 2 2 2 2 2 2 3 3 3" xfId="7980" xr:uid="{00000000-0005-0000-0000-0000491D0000}"/>
    <cellStyle name="Normal 16 2 2 2 2 2 2 2 3 4" xfId="2896" xr:uid="{00000000-0005-0000-0000-00004A1D0000}"/>
    <cellStyle name="Normal 16 2 2 2 2 2 2 2 3 4 2" xfId="6201" xr:uid="{00000000-0005-0000-0000-00004B1D0000}"/>
    <cellStyle name="Normal 16 2 2 2 2 2 2 2 3 4 2 2" xfId="11515" xr:uid="{00000000-0005-0000-0000-00004C1D0000}"/>
    <cellStyle name="Normal 16 2 2 2 2 2 2 2 3 4 3" xfId="8857" xr:uid="{00000000-0005-0000-0000-00004D1D0000}"/>
    <cellStyle name="Normal 16 2 2 2 2 2 2 2 3 5" xfId="4192" xr:uid="{00000000-0005-0000-0000-00004E1D0000}"/>
    <cellStyle name="Normal 16 2 2 2 2 2 2 2 3 5 2" xfId="9761" xr:uid="{00000000-0005-0000-0000-00004F1D0000}"/>
    <cellStyle name="Normal 16 2 2 2 2 2 2 2 3 6" xfId="7103" xr:uid="{00000000-0005-0000-0000-0000501D0000}"/>
    <cellStyle name="Normal 16 2 2 2 2 2 2 2 4" xfId="1163" xr:uid="{00000000-0005-0000-0000-0000511D0000}"/>
    <cellStyle name="Normal 16 2 2 2 2 2 2 2 4 2" xfId="2213" xr:uid="{00000000-0005-0000-0000-0000521D0000}"/>
    <cellStyle name="Normal 16 2 2 2 2 2 2 2 4 2 2" xfId="5560" xr:uid="{00000000-0005-0000-0000-0000531D0000}"/>
    <cellStyle name="Normal 16 2 2 2 2 2 2 2 4 2 2 2" xfId="10874" xr:uid="{00000000-0005-0000-0000-0000541D0000}"/>
    <cellStyle name="Normal 16 2 2 2 2 2 2 2 4 2 3" xfId="8216" xr:uid="{00000000-0005-0000-0000-0000551D0000}"/>
    <cellStyle name="Normal 16 2 2 2 2 2 2 2 4 3" xfId="3134" xr:uid="{00000000-0005-0000-0000-0000561D0000}"/>
    <cellStyle name="Normal 16 2 2 2 2 2 2 2 4 3 2" xfId="6437" xr:uid="{00000000-0005-0000-0000-0000571D0000}"/>
    <cellStyle name="Normal 16 2 2 2 2 2 2 2 4 3 2 2" xfId="11751" xr:uid="{00000000-0005-0000-0000-0000581D0000}"/>
    <cellStyle name="Normal 16 2 2 2 2 2 2 2 4 3 3" xfId="9093" xr:uid="{00000000-0005-0000-0000-0000591D0000}"/>
    <cellStyle name="Normal 16 2 2 2 2 2 2 2 4 4" xfId="4555" xr:uid="{00000000-0005-0000-0000-00005A1D0000}"/>
    <cellStyle name="Normal 16 2 2 2 2 2 2 2 4 4 2" xfId="9997" xr:uid="{00000000-0005-0000-0000-00005B1D0000}"/>
    <cellStyle name="Normal 16 2 2 2 2 2 2 2 4 5" xfId="7339" xr:uid="{00000000-0005-0000-0000-00005C1D0000}"/>
    <cellStyle name="Normal 16 2 2 2 2 2 2 2 5" xfId="1775" xr:uid="{00000000-0005-0000-0000-00005D1D0000}"/>
    <cellStyle name="Normal 16 2 2 2 2 2 2 2 5 2" xfId="5124" xr:uid="{00000000-0005-0000-0000-00005E1D0000}"/>
    <cellStyle name="Normal 16 2 2 2 2 2 2 2 5 2 2" xfId="10438" xr:uid="{00000000-0005-0000-0000-00005F1D0000}"/>
    <cellStyle name="Normal 16 2 2 2 2 2 2 2 5 3" xfId="7780" xr:uid="{00000000-0005-0000-0000-0000601D0000}"/>
    <cellStyle name="Normal 16 2 2 2 2 2 2 2 6" xfId="2696" xr:uid="{00000000-0005-0000-0000-0000611D0000}"/>
    <cellStyle name="Normal 16 2 2 2 2 2 2 2 6 2" xfId="6001" xr:uid="{00000000-0005-0000-0000-0000621D0000}"/>
    <cellStyle name="Normal 16 2 2 2 2 2 2 2 6 2 2" xfId="11315" xr:uid="{00000000-0005-0000-0000-0000631D0000}"/>
    <cellStyle name="Normal 16 2 2 2 2 2 2 2 6 3" xfId="8657" xr:uid="{00000000-0005-0000-0000-0000641D0000}"/>
    <cellStyle name="Normal 16 2 2 2 2 2 2 2 7" xfId="3870" xr:uid="{00000000-0005-0000-0000-0000651D0000}"/>
    <cellStyle name="Normal 16 2 2 2 2 2 2 2 7 2" xfId="9561" xr:uid="{00000000-0005-0000-0000-0000661D0000}"/>
    <cellStyle name="Normal 16 2 2 2 2 2 2 2 8" xfId="6903" xr:uid="{00000000-0005-0000-0000-0000671D0000}"/>
    <cellStyle name="Normal 16 2 2 2 2 2 2 3" xfId="818" xr:uid="{00000000-0005-0000-0000-0000681D0000}"/>
    <cellStyle name="Normal 16 2 2 2 2 2 2 3 2" xfId="1504" xr:uid="{00000000-0005-0000-0000-0000691D0000}"/>
    <cellStyle name="Normal 16 2 2 2 2 2 2 3 2 2" xfId="2430" xr:uid="{00000000-0005-0000-0000-00006A1D0000}"/>
    <cellStyle name="Normal 16 2 2 2 2 2 2 3 2 2 2" xfId="5777" xr:uid="{00000000-0005-0000-0000-00006B1D0000}"/>
    <cellStyle name="Normal 16 2 2 2 2 2 2 3 2 2 2 2" xfId="11091" xr:uid="{00000000-0005-0000-0000-00006C1D0000}"/>
    <cellStyle name="Normal 16 2 2 2 2 2 2 3 2 2 3" xfId="8433" xr:uid="{00000000-0005-0000-0000-00006D1D0000}"/>
    <cellStyle name="Normal 16 2 2 2 2 2 2 3 2 3" xfId="3351" xr:uid="{00000000-0005-0000-0000-00006E1D0000}"/>
    <cellStyle name="Normal 16 2 2 2 2 2 2 3 2 3 2" xfId="6654" xr:uid="{00000000-0005-0000-0000-00006F1D0000}"/>
    <cellStyle name="Normal 16 2 2 2 2 2 2 3 2 3 2 2" xfId="11968" xr:uid="{00000000-0005-0000-0000-0000701D0000}"/>
    <cellStyle name="Normal 16 2 2 2 2 2 2 3 2 3 3" xfId="9310" xr:uid="{00000000-0005-0000-0000-0000711D0000}"/>
    <cellStyle name="Normal 16 2 2 2 2 2 2 3 2 4" xfId="4896" xr:uid="{00000000-0005-0000-0000-0000721D0000}"/>
    <cellStyle name="Normal 16 2 2 2 2 2 2 3 2 4 2" xfId="10214" xr:uid="{00000000-0005-0000-0000-0000731D0000}"/>
    <cellStyle name="Normal 16 2 2 2 2 2 2 3 2 5" xfId="7556" xr:uid="{00000000-0005-0000-0000-0000741D0000}"/>
    <cellStyle name="Normal 16 2 2 2 2 2 2 3 3" xfId="1993" xr:uid="{00000000-0005-0000-0000-0000751D0000}"/>
    <cellStyle name="Normal 16 2 2 2 2 2 2 3 3 2" xfId="5341" xr:uid="{00000000-0005-0000-0000-0000761D0000}"/>
    <cellStyle name="Normal 16 2 2 2 2 2 2 3 3 2 2" xfId="10655" xr:uid="{00000000-0005-0000-0000-0000771D0000}"/>
    <cellStyle name="Normal 16 2 2 2 2 2 2 3 3 3" xfId="7997" xr:uid="{00000000-0005-0000-0000-0000781D0000}"/>
    <cellStyle name="Normal 16 2 2 2 2 2 2 3 4" xfId="2914" xr:uid="{00000000-0005-0000-0000-0000791D0000}"/>
    <cellStyle name="Normal 16 2 2 2 2 2 2 3 4 2" xfId="6218" xr:uid="{00000000-0005-0000-0000-00007A1D0000}"/>
    <cellStyle name="Normal 16 2 2 2 2 2 2 3 4 2 2" xfId="11532" xr:uid="{00000000-0005-0000-0000-00007B1D0000}"/>
    <cellStyle name="Normal 16 2 2 2 2 2 2 3 4 3" xfId="8874" xr:uid="{00000000-0005-0000-0000-00007C1D0000}"/>
    <cellStyle name="Normal 16 2 2 2 2 2 2 3 5" xfId="4211" xr:uid="{00000000-0005-0000-0000-00007D1D0000}"/>
    <cellStyle name="Normal 16 2 2 2 2 2 2 3 5 2" xfId="9778" xr:uid="{00000000-0005-0000-0000-00007E1D0000}"/>
    <cellStyle name="Normal 16 2 2 2 2 2 2 3 6" xfId="7120" xr:uid="{00000000-0005-0000-0000-00007F1D0000}"/>
    <cellStyle name="Normal 16 2 2 2 2 2 2 4" xfId="786" xr:uid="{00000000-0005-0000-0000-0000801D0000}"/>
    <cellStyle name="Normal 16 2 2 2 2 2 2 4 2" xfId="1473" xr:uid="{00000000-0005-0000-0000-0000811D0000}"/>
    <cellStyle name="Normal 16 2 2 2 2 2 2 4 2 2" xfId="2401" xr:uid="{00000000-0005-0000-0000-0000821D0000}"/>
    <cellStyle name="Normal 16 2 2 2 2 2 2 4 2 2 2" xfId="5748" xr:uid="{00000000-0005-0000-0000-0000831D0000}"/>
    <cellStyle name="Normal 16 2 2 2 2 2 2 4 2 2 2 2" xfId="11062" xr:uid="{00000000-0005-0000-0000-0000841D0000}"/>
    <cellStyle name="Normal 16 2 2 2 2 2 2 4 2 2 3" xfId="8404" xr:uid="{00000000-0005-0000-0000-0000851D0000}"/>
    <cellStyle name="Normal 16 2 2 2 2 2 2 4 2 3" xfId="3322" xr:uid="{00000000-0005-0000-0000-0000861D0000}"/>
    <cellStyle name="Normal 16 2 2 2 2 2 2 4 2 3 2" xfId="6625" xr:uid="{00000000-0005-0000-0000-0000871D0000}"/>
    <cellStyle name="Normal 16 2 2 2 2 2 2 4 2 3 2 2" xfId="11939" xr:uid="{00000000-0005-0000-0000-0000881D0000}"/>
    <cellStyle name="Normal 16 2 2 2 2 2 2 4 2 3 3" xfId="9281" xr:uid="{00000000-0005-0000-0000-0000891D0000}"/>
    <cellStyle name="Normal 16 2 2 2 2 2 2 4 2 4" xfId="4865" xr:uid="{00000000-0005-0000-0000-00008A1D0000}"/>
    <cellStyle name="Normal 16 2 2 2 2 2 2 4 2 4 2" xfId="10185" xr:uid="{00000000-0005-0000-0000-00008B1D0000}"/>
    <cellStyle name="Normal 16 2 2 2 2 2 2 4 2 5" xfId="7527" xr:uid="{00000000-0005-0000-0000-00008C1D0000}"/>
    <cellStyle name="Normal 16 2 2 2 2 2 2 4 3" xfId="1963" xr:uid="{00000000-0005-0000-0000-00008D1D0000}"/>
    <cellStyle name="Normal 16 2 2 2 2 2 2 4 3 2" xfId="5312" xr:uid="{00000000-0005-0000-0000-00008E1D0000}"/>
    <cellStyle name="Normal 16 2 2 2 2 2 2 4 3 2 2" xfId="10626" xr:uid="{00000000-0005-0000-0000-00008F1D0000}"/>
    <cellStyle name="Normal 16 2 2 2 2 2 2 4 3 3" xfId="7968" xr:uid="{00000000-0005-0000-0000-0000901D0000}"/>
    <cellStyle name="Normal 16 2 2 2 2 2 2 4 4" xfId="2884" xr:uid="{00000000-0005-0000-0000-0000911D0000}"/>
    <cellStyle name="Normal 16 2 2 2 2 2 2 4 4 2" xfId="6189" xr:uid="{00000000-0005-0000-0000-0000921D0000}"/>
    <cellStyle name="Normal 16 2 2 2 2 2 2 4 4 2 2" xfId="11503" xr:uid="{00000000-0005-0000-0000-0000931D0000}"/>
    <cellStyle name="Normal 16 2 2 2 2 2 2 4 4 3" xfId="8845" xr:uid="{00000000-0005-0000-0000-0000941D0000}"/>
    <cellStyle name="Normal 16 2 2 2 2 2 2 4 5" xfId="4180" xr:uid="{00000000-0005-0000-0000-0000951D0000}"/>
    <cellStyle name="Normal 16 2 2 2 2 2 2 4 5 2" xfId="9749" xr:uid="{00000000-0005-0000-0000-0000961D0000}"/>
    <cellStyle name="Normal 16 2 2 2 2 2 2 4 6" xfId="7091" xr:uid="{00000000-0005-0000-0000-0000971D0000}"/>
    <cellStyle name="Normal 16 2 2 2 2 2 2 5" xfId="1151" xr:uid="{00000000-0005-0000-0000-0000981D0000}"/>
    <cellStyle name="Normal 16 2 2 2 2 2 2 5 2" xfId="2201" xr:uid="{00000000-0005-0000-0000-0000991D0000}"/>
    <cellStyle name="Normal 16 2 2 2 2 2 2 5 2 2" xfId="5548" xr:uid="{00000000-0005-0000-0000-00009A1D0000}"/>
    <cellStyle name="Normal 16 2 2 2 2 2 2 5 2 2 2" xfId="10862" xr:uid="{00000000-0005-0000-0000-00009B1D0000}"/>
    <cellStyle name="Normal 16 2 2 2 2 2 2 5 2 3" xfId="8204" xr:uid="{00000000-0005-0000-0000-00009C1D0000}"/>
    <cellStyle name="Normal 16 2 2 2 2 2 2 5 3" xfId="3122" xr:uid="{00000000-0005-0000-0000-00009D1D0000}"/>
    <cellStyle name="Normal 16 2 2 2 2 2 2 5 3 2" xfId="6425" xr:uid="{00000000-0005-0000-0000-00009E1D0000}"/>
    <cellStyle name="Normal 16 2 2 2 2 2 2 5 3 2 2" xfId="11739" xr:uid="{00000000-0005-0000-0000-00009F1D0000}"/>
    <cellStyle name="Normal 16 2 2 2 2 2 2 5 3 3" xfId="9081" xr:uid="{00000000-0005-0000-0000-0000A01D0000}"/>
    <cellStyle name="Normal 16 2 2 2 2 2 2 5 4" xfId="4543" xr:uid="{00000000-0005-0000-0000-0000A11D0000}"/>
    <cellStyle name="Normal 16 2 2 2 2 2 2 5 4 2" xfId="9985" xr:uid="{00000000-0005-0000-0000-0000A21D0000}"/>
    <cellStyle name="Normal 16 2 2 2 2 2 2 5 5" xfId="7327" xr:uid="{00000000-0005-0000-0000-0000A31D0000}"/>
    <cellStyle name="Normal 16 2 2 2 2 2 2 6" xfId="1763" xr:uid="{00000000-0005-0000-0000-0000A41D0000}"/>
    <cellStyle name="Normal 16 2 2 2 2 2 2 6 2" xfId="5112" xr:uid="{00000000-0005-0000-0000-0000A51D0000}"/>
    <cellStyle name="Normal 16 2 2 2 2 2 2 6 2 2" xfId="10426" xr:uid="{00000000-0005-0000-0000-0000A61D0000}"/>
    <cellStyle name="Normal 16 2 2 2 2 2 2 6 3" xfId="7768" xr:uid="{00000000-0005-0000-0000-0000A71D0000}"/>
    <cellStyle name="Normal 16 2 2 2 2 2 2 7" xfId="2684" xr:uid="{00000000-0005-0000-0000-0000A81D0000}"/>
    <cellStyle name="Normal 16 2 2 2 2 2 2 7 2" xfId="5989" xr:uid="{00000000-0005-0000-0000-0000A91D0000}"/>
    <cellStyle name="Normal 16 2 2 2 2 2 2 7 2 2" xfId="11303" xr:uid="{00000000-0005-0000-0000-0000AA1D0000}"/>
    <cellStyle name="Normal 16 2 2 2 2 2 2 7 3" xfId="8645" xr:uid="{00000000-0005-0000-0000-0000AB1D0000}"/>
    <cellStyle name="Normal 16 2 2 2 2 2 2 8" xfId="3858" xr:uid="{00000000-0005-0000-0000-0000AC1D0000}"/>
    <cellStyle name="Normal 16 2 2 2 2 2 2 8 2" xfId="9549" xr:uid="{00000000-0005-0000-0000-0000AD1D0000}"/>
    <cellStyle name="Normal 16 2 2 2 2 2 2 9" xfId="6891" xr:uid="{00000000-0005-0000-0000-0000AE1D0000}"/>
    <cellStyle name="Normal 16 2 2 2 2 2 3" xfId="808" xr:uid="{00000000-0005-0000-0000-0000AF1D0000}"/>
    <cellStyle name="Normal 16 2 2 2 2 2 3 2" xfId="1494" xr:uid="{00000000-0005-0000-0000-0000B01D0000}"/>
    <cellStyle name="Normal 16 2 2 2 2 2 3 2 2" xfId="2420" xr:uid="{00000000-0005-0000-0000-0000B11D0000}"/>
    <cellStyle name="Normal 16 2 2 2 2 2 3 2 2 2" xfId="5767" xr:uid="{00000000-0005-0000-0000-0000B21D0000}"/>
    <cellStyle name="Normal 16 2 2 2 2 2 3 2 2 2 2" xfId="11081" xr:uid="{00000000-0005-0000-0000-0000B31D0000}"/>
    <cellStyle name="Normal 16 2 2 2 2 2 3 2 2 3" xfId="8423" xr:uid="{00000000-0005-0000-0000-0000B41D0000}"/>
    <cellStyle name="Normal 16 2 2 2 2 2 3 2 3" xfId="3341" xr:uid="{00000000-0005-0000-0000-0000B51D0000}"/>
    <cellStyle name="Normal 16 2 2 2 2 2 3 2 3 2" xfId="6644" xr:uid="{00000000-0005-0000-0000-0000B61D0000}"/>
    <cellStyle name="Normal 16 2 2 2 2 2 3 2 3 2 2" xfId="11958" xr:uid="{00000000-0005-0000-0000-0000B71D0000}"/>
    <cellStyle name="Normal 16 2 2 2 2 2 3 2 3 3" xfId="9300" xr:uid="{00000000-0005-0000-0000-0000B81D0000}"/>
    <cellStyle name="Normal 16 2 2 2 2 2 3 2 4" xfId="4886" xr:uid="{00000000-0005-0000-0000-0000B91D0000}"/>
    <cellStyle name="Normal 16 2 2 2 2 2 3 2 4 2" xfId="10204" xr:uid="{00000000-0005-0000-0000-0000BA1D0000}"/>
    <cellStyle name="Normal 16 2 2 2 2 2 3 2 5" xfId="7546" xr:uid="{00000000-0005-0000-0000-0000BB1D0000}"/>
    <cellStyle name="Normal 16 2 2 2 2 2 3 3" xfId="1983" xr:uid="{00000000-0005-0000-0000-0000BC1D0000}"/>
    <cellStyle name="Normal 16 2 2 2 2 2 3 3 2" xfId="5331" xr:uid="{00000000-0005-0000-0000-0000BD1D0000}"/>
    <cellStyle name="Normal 16 2 2 2 2 2 3 3 2 2" xfId="10645" xr:uid="{00000000-0005-0000-0000-0000BE1D0000}"/>
    <cellStyle name="Normal 16 2 2 2 2 2 3 3 3" xfId="7987" xr:uid="{00000000-0005-0000-0000-0000BF1D0000}"/>
    <cellStyle name="Normal 16 2 2 2 2 2 3 4" xfId="2904" xr:uid="{00000000-0005-0000-0000-0000C01D0000}"/>
    <cellStyle name="Normal 16 2 2 2 2 2 3 4 2" xfId="6208" xr:uid="{00000000-0005-0000-0000-0000C11D0000}"/>
    <cellStyle name="Normal 16 2 2 2 2 2 3 4 2 2" xfId="11522" xr:uid="{00000000-0005-0000-0000-0000C21D0000}"/>
    <cellStyle name="Normal 16 2 2 2 2 2 3 4 3" xfId="8864" xr:uid="{00000000-0005-0000-0000-0000C31D0000}"/>
    <cellStyle name="Normal 16 2 2 2 2 2 3 5" xfId="4201" xr:uid="{00000000-0005-0000-0000-0000C41D0000}"/>
    <cellStyle name="Normal 16 2 2 2 2 2 3 5 2" xfId="9768" xr:uid="{00000000-0005-0000-0000-0000C51D0000}"/>
    <cellStyle name="Normal 16 2 2 2 2 2 3 6" xfId="7110" xr:uid="{00000000-0005-0000-0000-0000C61D0000}"/>
    <cellStyle name="Normal 16 2 2 2 2 2 4" xfId="629" xr:uid="{00000000-0005-0000-0000-0000C71D0000}"/>
    <cellStyle name="Normal 16 2 2 2 2 2 4 2" xfId="1316" xr:uid="{00000000-0005-0000-0000-0000C81D0000}"/>
    <cellStyle name="Normal 16 2 2 2 2 2 4 2 2" xfId="2306" xr:uid="{00000000-0005-0000-0000-0000C91D0000}"/>
    <cellStyle name="Normal 16 2 2 2 2 2 4 2 2 2" xfId="5653" xr:uid="{00000000-0005-0000-0000-0000CA1D0000}"/>
    <cellStyle name="Normal 16 2 2 2 2 2 4 2 2 2 2" xfId="10967" xr:uid="{00000000-0005-0000-0000-0000CB1D0000}"/>
    <cellStyle name="Normal 16 2 2 2 2 2 4 2 2 3" xfId="8309" xr:uid="{00000000-0005-0000-0000-0000CC1D0000}"/>
    <cellStyle name="Normal 16 2 2 2 2 2 4 2 3" xfId="3227" xr:uid="{00000000-0005-0000-0000-0000CD1D0000}"/>
    <cellStyle name="Normal 16 2 2 2 2 2 4 2 3 2" xfId="6530" xr:uid="{00000000-0005-0000-0000-0000CE1D0000}"/>
    <cellStyle name="Normal 16 2 2 2 2 2 4 2 3 2 2" xfId="11844" xr:uid="{00000000-0005-0000-0000-0000CF1D0000}"/>
    <cellStyle name="Normal 16 2 2 2 2 2 4 2 3 3" xfId="9186" xr:uid="{00000000-0005-0000-0000-0000D01D0000}"/>
    <cellStyle name="Normal 16 2 2 2 2 2 4 2 4" xfId="4708" xr:uid="{00000000-0005-0000-0000-0000D11D0000}"/>
    <cellStyle name="Normal 16 2 2 2 2 2 4 2 4 2" xfId="10090" xr:uid="{00000000-0005-0000-0000-0000D21D0000}"/>
    <cellStyle name="Normal 16 2 2 2 2 2 4 2 5" xfId="7432" xr:uid="{00000000-0005-0000-0000-0000D31D0000}"/>
    <cellStyle name="Normal 16 2 2 2 2 2 4 3" xfId="1868" xr:uid="{00000000-0005-0000-0000-0000D41D0000}"/>
    <cellStyle name="Normal 16 2 2 2 2 2 4 3 2" xfId="5217" xr:uid="{00000000-0005-0000-0000-0000D51D0000}"/>
    <cellStyle name="Normal 16 2 2 2 2 2 4 3 2 2" xfId="10531" xr:uid="{00000000-0005-0000-0000-0000D61D0000}"/>
    <cellStyle name="Normal 16 2 2 2 2 2 4 3 3" xfId="7873" xr:uid="{00000000-0005-0000-0000-0000D71D0000}"/>
    <cellStyle name="Normal 16 2 2 2 2 2 4 4" xfId="2789" xr:uid="{00000000-0005-0000-0000-0000D81D0000}"/>
    <cellStyle name="Normal 16 2 2 2 2 2 4 4 2" xfId="6094" xr:uid="{00000000-0005-0000-0000-0000D91D0000}"/>
    <cellStyle name="Normal 16 2 2 2 2 2 4 4 2 2" xfId="11408" xr:uid="{00000000-0005-0000-0000-0000DA1D0000}"/>
    <cellStyle name="Normal 16 2 2 2 2 2 4 4 3" xfId="8750" xr:uid="{00000000-0005-0000-0000-0000DB1D0000}"/>
    <cellStyle name="Normal 16 2 2 2 2 2 4 5" xfId="4023" xr:uid="{00000000-0005-0000-0000-0000DC1D0000}"/>
    <cellStyle name="Normal 16 2 2 2 2 2 4 5 2" xfId="9654" xr:uid="{00000000-0005-0000-0000-0000DD1D0000}"/>
    <cellStyle name="Normal 16 2 2 2 2 2 4 6" xfId="6996" xr:uid="{00000000-0005-0000-0000-0000DE1D0000}"/>
    <cellStyle name="Normal 16 2 2 2 2 2 5" xfId="994" xr:uid="{00000000-0005-0000-0000-0000DF1D0000}"/>
    <cellStyle name="Normal 16 2 2 2 2 2 5 2" xfId="2106" xr:uid="{00000000-0005-0000-0000-0000E01D0000}"/>
    <cellStyle name="Normal 16 2 2 2 2 2 5 2 2" xfId="5453" xr:uid="{00000000-0005-0000-0000-0000E11D0000}"/>
    <cellStyle name="Normal 16 2 2 2 2 2 5 2 2 2" xfId="10767" xr:uid="{00000000-0005-0000-0000-0000E21D0000}"/>
    <cellStyle name="Normal 16 2 2 2 2 2 5 2 3" xfId="8109" xr:uid="{00000000-0005-0000-0000-0000E31D0000}"/>
    <cellStyle name="Normal 16 2 2 2 2 2 5 3" xfId="3027" xr:uid="{00000000-0005-0000-0000-0000E41D0000}"/>
    <cellStyle name="Normal 16 2 2 2 2 2 5 3 2" xfId="6330" xr:uid="{00000000-0005-0000-0000-0000E51D0000}"/>
    <cellStyle name="Normal 16 2 2 2 2 2 5 3 2 2" xfId="11644" xr:uid="{00000000-0005-0000-0000-0000E61D0000}"/>
    <cellStyle name="Normal 16 2 2 2 2 2 5 3 3" xfId="8986" xr:uid="{00000000-0005-0000-0000-0000E71D0000}"/>
    <cellStyle name="Normal 16 2 2 2 2 2 5 4" xfId="4386" xr:uid="{00000000-0005-0000-0000-0000E81D0000}"/>
    <cellStyle name="Normal 16 2 2 2 2 2 5 4 2" xfId="9890" xr:uid="{00000000-0005-0000-0000-0000E91D0000}"/>
    <cellStyle name="Normal 16 2 2 2 2 2 5 5" xfId="7232" xr:uid="{00000000-0005-0000-0000-0000EA1D0000}"/>
    <cellStyle name="Normal 16 2 2 2 2 2 6" xfId="1668" xr:uid="{00000000-0005-0000-0000-0000EB1D0000}"/>
    <cellStyle name="Normal 16 2 2 2 2 2 6 2" xfId="5017" xr:uid="{00000000-0005-0000-0000-0000EC1D0000}"/>
    <cellStyle name="Normal 16 2 2 2 2 2 6 2 2" xfId="10331" xr:uid="{00000000-0005-0000-0000-0000ED1D0000}"/>
    <cellStyle name="Normal 16 2 2 2 2 2 6 3" xfId="7673" xr:uid="{00000000-0005-0000-0000-0000EE1D0000}"/>
    <cellStyle name="Normal 16 2 2 2 2 2 7" xfId="2589" xr:uid="{00000000-0005-0000-0000-0000EF1D0000}"/>
    <cellStyle name="Normal 16 2 2 2 2 2 7 2" xfId="5894" xr:uid="{00000000-0005-0000-0000-0000F01D0000}"/>
    <cellStyle name="Normal 16 2 2 2 2 2 7 2 2" xfId="11208" xr:uid="{00000000-0005-0000-0000-0000F11D0000}"/>
    <cellStyle name="Normal 16 2 2 2 2 2 7 3" xfId="8550" xr:uid="{00000000-0005-0000-0000-0000F21D0000}"/>
    <cellStyle name="Normal 16 2 2 2 2 2 8" xfId="3701" xr:uid="{00000000-0005-0000-0000-0000F31D0000}"/>
    <cellStyle name="Normal 16 2 2 2 2 2 8 2" xfId="9454" xr:uid="{00000000-0005-0000-0000-0000F41D0000}"/>
    <cellStyle name="Normal 16 2 2 2 2 2 9" xfId="6796" xr:uid="{00000000-0005-0000-0000-0000F51D0000}"/>
    <cellStyle name="Normal 16 2 2 2 2 3" xfId="459" xr:uid="{00000000-0005-0000-0000-0000F61D0000}"/>
    <cellStyle name="Normal 16 2 2 2 2 3 2" xfId="781" xr:uid="{00000000-0005-0000-0000-0000F71D0000}"/>
    <cellStyle name="Normal 16 2 2 2 2 3 2 2" xfId="1468" xr:uid="{00000000-0005-0000-0000-0000F81D0000}"/>
    <cellStyle name="Normal 16 2 2 2 2 3 2 2 2" xfId="2396" xr:uid="{00000000-0005-0000-0000-0000F91D0000}"/>
    <cellStyle name="Normal 16 2 2 2 2 3 2 2 2 2" xfId="5743" xr:uid="{00000000-0005-0000-0000-0000FA1D0000}"/>
    <cellStyle name="Normal 16 2 2 2 2 3 2 2 2 2 2" xfId="11057" xr:uid="{00000000-0005-0000-0000-0000FB1D0000}"/>
    <cellStyle name="Normal 16 2 2 2 2 3 2 2 2 3" xfId="8399" xr:uid="{00000000-0005-0000-0000-0000FC1D0000}"/>
    <cellStyle name="Normal 16 2 2 2 2 3 2 2 3" xfId="3317" xr:uid="{00000000-0005-0000-0000-0000FD1D0000}"/>
    <cellStyle name="Normal 16 2 2 2 2 3 2 2 3 2" xfId="6620" xr:uid="{00000000-0005-0000-0000-0000FE1D0000}"/>
    <cellStyle name="Normal 16 2 2 2 2 3 2 2 3 2 2" xfId="11934" xr:uid="{00000000-0005-0000-0000-0000FF1D0000}"/>
    <cellStyle name="Normal 16 2 2 2 2 3 2 2 3 3" xfId="9276" xr:uid="{00000000-0005-0000-0000-0000001E0000}"/>
    <cellStyle name="Normal 16 2 2 2 2 3 2 2 4" xfId="4860" xr:uid="{00000000-0005-0000-0000-0000011E0000}"/>
    <cellStyle name="Normal 16 2 2 2 2 3 2 2 4 2" xfId="10180" xr:uid="{00000000-0005-0000-0000-0000021E0000}"/>
    <cellStyle name="Normal 16 2 2 2 2 3 2 2 5" xfId="7522" xr:uid="{00000000-0005-0000-0000-0000031E0000}"/>
    <cellStyle name="Normal 16 2 2 2 2 3 2 3" xfId="1958" xr:uid="{00000000-0005-0000-0000-0000041E0000}"/>
    <cellStyle name="Normal 16 2 2 2 2 3 2 3 2" xfId="5307" xr:uid="{00000000-0005-0000-0000-0000051E0000}"/>
    <cellStyle name="Normal 16 2 2 2 2 3 2 3 2 2" xfId="10621" xr:uid="{00000000-0005-0000-0000-0000061E0000}"/>
    <cellStyle name="Normal 16 2 2 2 2 3 2 3 3" xfId="7963" xr:uid="{00000000-0005-0000-0000-0000071E0000}"/>
    <cellStyle name="Normal 16 2 2 2 2 3 2 4" xfId="2879" xr:uid="{00000000-0005-0000-0000-0000081E0000}"/>
    <cellStyle name="Normal 16 2 2 2 2 3 2 4 2" xfId="6184" xr:uid="{00000000-0005-0000-0000-0000091E0000}"/>
    <cellStyle name="Normal 16 2 2 2 2 3 2 4 2 2" xfId="11498" xr:uid="{00000000-0005-0000-0000-00000A1E0000}"/>
    <cellStyle name="Normal 16 2 2 2 2 3 2 4 3" xfId="8840" xr:uid="{00000000-0005-0000-0000-00000B1E0000}"/>
    <cellStyle name="Normal 16 2 2 2 2 3 2 5" xfId="4175" xr:uid="{00000000-0005-0000-0000-00000C1E0000}"/>
    <cellStyle name="Normal 16 2 2 2 2 3 2 5 2" xfId="9744" xr:uid="{00000000-0005-0000-0000-00000D1E0000}"/>
    <cellStyle name="Normal 16 2 2 2 2 3 2 6" xfId="7086" xr:uid="{00000000-0005-0000-0000-00000E1E0000}"/>
    <cellStyle name="Normal 16 2 2 2 2 3 3" xfId="1146" xr:uid="{00000000-0005-0000-0000-00000F1E0000}"/>
    <cellStyle name="Normal 16 2 2 2 2 3 3 2" xfId="2196" xr:uid="{00000000-0005-0000-0000-0000101E0000}"/>
    <cellStyle name="Normal 16 2 2 2 2 3 3 2 2" xfId="5543" xr:uid="{00000000-0005-0000-0000-0000111E0000}"/>
    <cellStyle name="Normal 16 2 2 2 2 3 3 2 2 2" xfId="10857" xr:uid="{00000000-0005-0000-0000-0000121E0000}"/>
    <cellStyle name="Normal 16 2 2 2 2 3 3 2 3" xfId="8199" xr:uid="{00000000-0005-0000-0000-0000131E0000}"/>
    <cellStyle name="Normal 16 2 2 2 2 3 3 3" xfId="3117" xr:uid="{00000000-0005-0000-0000-0000141E0000}"/>
    <cellStyle name="Normal 16 2 2 2 2 3 3 3 2" xfId="6420" xr:uid="{00000000-0005-0000-0000-0000151E0000}"/>
    <cellStyle name="Normal 16 2 2 2 2 3 3 3 2 2" xfId="11734" xr:uid="{00000000-0005-0000-0000-0000161E0000}"/>
    <cellStyle name="Normal 16 2 2 2 2 3 3 3 3" xfId="9076" xr:uid="{00000000-0005-0000-0000-0000171E0000}"/>
    <cellStyle name="Normal 16 2 2 2 2 3 3 4" xfId="4538" xr:uid="{00000000-0005-0000-0000-0000181E0000}"/>
    <cellStyle name="Normal 16 2 2 2 2 3 3 4 2" xfId="9980" xr:uid="{00000000-0005-0000-0000-0000191E0000}"/>
    <cellStyle name="Normal 16 2 2 2 2 3 3 5" xfId="7322" xr:uid="{00000000-0005-0000-0000-00001A1E0000}"/>
    <cellStyle name="Normal 16 2 2 2 2 3 4" xfId="1758" xr:uid="{00000000-0005-0000-0000-00001B1E0000}"/>
    <cellStyle name="Normal 16 2 2 2 2 3 4 2" xfId="5107" xr:uid="{00000000-0005-0000-0000-00001C1E0000}"/>
    <cellStyle name="Normal 16 2 2 2 2 3 4 2 2" xfId="10421" xr:uid="{00000000-0005-0000-0000-00001D1E0000}"/>
    <cellStyle name="Normal 16 2 2 2 2 3 4 3" xfId="7763" xr:uid="{00000000-0005-0000-0000-00001E1E0000}"/>
    <cellStyle name="Normal 16 2 2 2 2 3 5" xfId="2679" xr:uid="{00000000-0005-0000-0000-00001F1E0000}"/>
    <cellStyle name="Normal 16 2 2 2 2 3 5 2" xfId="5984" xr:uid="{00000000-0005-0000-0000-0000201E0000}"/>
    <cellStyle name="Normal 16 2 2 2 2 3 5 2 2" xfId="11298" xr:uid="{00000000-0005-0000-0000-0000211E0000}"/>
    <cellStyle name="Normal 16 2 2 2 2 3 5 3" xfId="8640" xr:uid="{00000000-0005-0000-0000-0000221E0000}"/>
    <cellStyle name="Normal 16 2 2 2 2 3 6" xfId="3853" xr:uid="{00000000-0005-0000-0000-0000231E0000}"/>
    <cellStyle name="Normal 16 2 2 2 2 3 6 2" xfId="9544" xr:uid="{00000000-0005-0000-0000-0000241E0000}"/>
    <cellStyle name="Normal 16 2 2 2 2 3 7" xfId="6886" xr:uid="{00000000-0005-0000-0000-0000251E0000}"/>
    <cellStyle name="Normal 16 2 2 2 2 4" xfId="620" xr:uid="{00000000-0005-0000-0000-0000261E0000}"/>
    <cellStyle name="Normal 16 2 2 2 2 4 2" xfId="1307" xr:uid="{00000000-0005-0000-0000-0000271E0000}"/>
    <cellStyle name="Normal 16 2 2 2 2 4 2 2" xfId="2297" xr:uid="{00000000-0005-0000-0000-0000281E0000}"/>
    <cellStyle name="Normal 16 2 2 2 2 4 2 2 2" xfId="5644" xr:uid="{00000000-0005-0000-0000-0000291E0000}"/>
    <cellStyle name="Normal 16 2 2 2 2 4 2 2 2 2" xfId="10958" xr:uid="{00000000-0005-0000-0000-00002A1E0000}"/>
    <cellStyle name="Normal 16 2 2 2 2 4 2 2 3" xfId="8300" xr:uid="{00000000-0005-0000-0000-00002B1E0000}"/>
    <cellStyle name="Normal 16 2 2 2 2 4 2 3" xfId="3218" xr:uid="{00000000-0005-0000-0000-00002C1E0000}"/>
    <cellStyle name="Normal 16 2 2 2 2 4 2 3 2" xfId="6521" xr:uid="{00000000-0005-0000-0000-00002D1E0000}"/>
    <cellStyle name="Normal 16 2 2 2 2 4 2 3 2 2" xfId="11835" xr:uid="{00000000-0005-0000-0000-00002E1E0000}"/>
    <cellStyle name="Normal 16 2 2 2 2 4 2 3 3" xfId="9177" xr:uid="{00000000-0005-0000-0000-00002F1E0000}"/>
    <cellStyle name="Normal 16 2 2 2 2 4 2 4" xfId="4699" xr:uid="{00000000-0005-0000-0000-0000301E0000}"/>
    <cellStyle name="Normal 16 2 2 2 2 4 2 4 2" xfId="10081" xr:uid="{00000000-0005-0000-0000-0000311E0000}"/>
    <cellStyle name="Normal 16 2 2 2 2 4 2 5" xfId="7423" xr:uid="{00000000-0005-0000-0000-0000321E0000}"/>
    <cellStyle name="Normal 16 2 2 2 2 4 3" xfId="1859" xr:uid="{00000000-0005-0000-0000-0000331E0000}"/>
    <cellStyle name="Normal 16 2 2 2 2 4 3 2" xfId="5208" xr:uid="{00000000-0005-0000-0000-0000341E0000}"/>
    <cellStyle name="Normal 16 2 2 2 2 4 3 2 2" xfId="10522" xr:uid="{00000000-0005-0000-0000-0000351E0000}"/>
    <cellStyle name="Normal 16 2 2 2 2 4 3 3" xfId="7864" xr:uid="{00000000-0005-0000-0000-0000361E0000}"/>
    <cellStyle name="Normal 16 2 2 2 2 4 4" xfId="2780" xr:uid="{00000000-0005-0000-0000-0000371E0000}"/>
    <cellStyle name="Normal 16 2 2 2 2 4 4 2" xfId="6085" xr:uid="{00000000-0005-0000-0000-0000381E0000}"/>
    <cellStyle name="Normal 16 2 2 2 2 4 4 2 2" xfId="11399" xr:uid="{00000000-0005-0000-0000-0000391E0000}"/>
    <cellStyle name="Normal 16 2 2 2 2 4 4 3" xfId="8741" xr:uid="{00000000-0005-0000-0000-00003A1E0000}"/>
    <cellStyle name="Normal 16 2 2 2 2 4 5" xfId="4014" xr:uid="{00000000-0005-0000-0000-00003B1E0000}"/>
    <cellStyle name="Normal 16 2 2 2 2 4 5 2" xfId="9645" xr:uid="{00000000-0005-0000-0000-00003C1E0000}"/>
    <cellStyle name="Normal 16 2 2 2 2 4 6" xfId="6987" xr:uid="{00000000-0005-0000-0000-00003D1E0000}"/>
    <cellStyle name="Normal 16 2 2 2 2 5" xfId="985" xr:uid="{00000000-0005-0000-0000-00003E1E0000}"/>
    <cellStyle name="Normal 16 2 2 2 2 5 2" xfId="2097" xr:uid="{00000000-0005-0000-0000-00003F1E0000}"/>
    <cellStyle name="Normal 16 2 2 2 2 5 2 2" xfId="5444" xr:uid="{00000000-0005-0000-0000-0000401E0000}"/>
    <cellStyle name="Normal 16 2 2 2 2 5 2 2 2" xfId="10758" xr:uid="{00000000-0005-0000-0000-0000411E0000}"/>
    <cellStyle name="Normal 16 2 2 2 2 5 2 3" xfId="8100" xr:uid="{00000000-0005-0000-0000-0000421E0000}"/>
    <cellStyle name="Normal 16 2 2 2 2 5 3" xfId="3018" xr:uid="{00000000-0005-0000-0000-0000431E0000}"/>
    <cellStyle name="Normal 16 2 2 2 2 5 3 2" xfId="6321" xr:uid="{00000000-0005-0000-0000-0000441E0000}"/>
    <cellStyle name="Normal 16 2 2 2 2 5 3 2 2" xfId="11635" xr:uid="{00000000-0005-0000-0000-0000451E0000}"/>
    <cellStyle name="Normal 16 2 2 2 2 5 3 3" xfId="8977" xr:uid="{00000000-0005-0000-0000-0000461E0000}"/>
    <cellStyle name="Normal 16 2 2 2 2 5 4" xfId="4377" xr:uid="{00000000-0005-0000-0000-0000471E0000}"/>
    <cellStyle name="Normal 16 2 2 2 2 5 4 2" xfId="9881" xr:uid="{00000000-0005-0000-0000-0000481E0000}"/>
    <cellStyle name="Normal 16 2 2 2 2 5 5" xfId="7223" xr:uid="{00000000-0005-0000-0000-0000491E0000}"/>
    <cellStyle name="Normal 16 2 2 2 2 6" xfId="1659" xr:uid="{00000000-0005-0000-0000-00004A1E0000}"/>
    <cellStyle name="Normal 16 2 2 2 2 6 2" xfId="5008" xr:uid="{00000000-0005-0000-0000-00004B1E0000}"/>
    <cellStyle name="Normal 16 2 2 2 2 6 2 2" xfId="10322" xr:uid="{00000000-0005-0000-0000-00004C1E0000}"/>
    <cellStyle name="Normal 16 2 2 2 2 6 3" xfId="7664" xr:uid="{00000000-0005-0000-0000-00004D1E0000}"/>
    <cellStyle name="Normal 16 2 2 2 2 7" xfId="2580" xr:uid="{00000000-0005-0000-0000-00004E1E0000}"/>
    <cellStyle name="Normal 16 2 2 2 2 7 2" xfId="5885" xr:uid="{00000000-0005-0000-0000-00004F1E0000}"/>
    <cellStyle name="Normal 16 2 2 2 2 7 2 2" xfId="11199" xr:uid="{00000000-0005-0000-0000-0000501E0000}"/>
    <cellStyle name="Normal 16 2 2 2 2 7 3" xfId="8541" xr:uid="{00000000-0005-0000-0000-0000511E0000}"/>
    <cellStyle name="Normal 16 2 2 2 2 8" xfId="3692" xr:uid="{00000000-0005-0000-0000-0000521E0000}"/>
    <cellStyle name="Normal 16 2 2 2 2 8 2" xfId="9445" xr:uid="{00000000-0005-0000-0000-0000531E0000}"/>
    <cellStyle name="Normal 16 2 2 2 2 9" xfId="6787" xr:uid="{00000000-0005-0000-0000-0000541E0000}"/>
    <cellStyle name="Normal 16 2 2 2 3" xfId="303" xr:uid="{00000000-0005-0000-0000-0000551E0000}"/>
    <cellStyle name="Normal 16 2 2 2 3 2" xfId="462" xr:uid="{00000000-0005-0000-0000-0000561E0000}"/>
    <cellStyle name="Normal 16 2 2 2 3 2 2" xfId="474" xr:uid="{00000000-0005-0000-0000-0000571E0000}"/>
    <cellStyle name="Normal 16 2 2 2 3 2 2 2" xfId="814" xr:uid="{00000000-0005-0000-0000-0000581E0000}"/>
    <cellStyle name="Normal 16 2 2 2 3 2 2 2 2" xfId="1500" xr:uid="{00000000-0005-0000-0000-0000591E0000}"/>
    <cellStyle name="Normal 16 2 2 2 3 2 2 2 2 2" xfId="2426" xr:uid="{00000000-0005-0000-0000-00005A1E0000}"/>
    <cellStyle name="Normal 16 2 2 2 3 2 2 2 2 2 2" xfId="5773" xr:uid="{00000000-0005-0000-0000-00005B1E0000}"/>
    <cellStyle name="Normal 16 2 2 2 3 2 2 2 2 2 2 2" xfId="11087" xr:uid="{00000000-0005-0000-0000-00005C1E0000}"/>
    <cellStyle name="Normal 16 2 2 2 3 2 2 2 2 2 3" xfId="8429" xr:uid="{00000000-0005-0000-0000-00005D1E0000}"/>
    <cellStyle name="Normal 16 2 2 2 3 2 2 2 2 3" xfId="3347" xr:uid="{00000000-0005-0000-0000-00005E1E0000}"/>
    <cellStyle name="Normal 16 2 2 2 3 2 2 2 2 3 2" xfId="6650" xr:uid="{00000000-0005-0000-0000-00005F1E0000}"/>
    <cellStyle name="Normal 16 2 2 2 3 2 2 2 2 3 2 2" xfId="11964" xr:uid="{00000000-0005-0000-0000-0000601E0000}"/>
    <cellStyle name="Normal 16 2 2 2 3 2 2 2 2 3 3" xfId="9306" xr:uid="{00000000-0005-0000-0000-0000611E0000}"/>
    <cellStyle name="Normal 16 2 2 2 3 2 2 2 2 4" xfId="4892" xr:uid="{00000000-0005-0000-0000-0000621E0000}"/>
    <cellStyle name="Normal 16 2 2 2 3 2 2 2 2 4 2" xfId="10210" xr:uid="{00000000-0005-0000-0000-0000631E0000}"/>
    <cellStyle name="Normal 16 2 2 2 3 2 2 2 2 5" xfId="7552" xr:uid="{00000000-0005-0000-0000-0000641E0000}"/>
    <cellStyle name="Normal 16 2 2 2 3 2 2 2 3" xfId="1989" xr:uid="{00000000-0005-0000-0000-0000651E0000}"/>
    <cellStyle name="Normal 16 2 2 2 3 2 2 2 3 2" xfId="5337" xr:uid="{00000000-0005-0000-0000-0000661E0000}"/>
    <cellStyle name="Normal 16 2 2 2 3 2 2 2 3 2 2" xfId="10651" xr:uid="{00000000-0005-0000-0000-0000671E0000}"/>
    <cellStyle name="Normal 16 2 2 2 3 2 2 2 3 3" xfId="7993" xr:uid="{00000000-0005-0000-0000-0000681E0000}"/>
    <cellStyle name="Normal 16 2 2 2 3 2 2 2 4" xfId="2910" xr:uid="{00000000-0005-0000-0000-0000691E0000}"/>
    <cellStyle name="Normal 16 2 2 2 3 2 2 2 4 2" xfId="6214" xr:uid="{00000000-0005-0000-0000-00006A1E0000}"/>
    <cellStyle name="Normal 16 2 2 2 3 2 2 2 4 2 2" xfId="11528" xr:uid="{00000000-0005-0000-0000-00006B1E0000}"/>
    <cellStyle name="Normal 16 2 2 2 3 2 2 2 4 3" xfId="8870" xr:uid="{00000000-0005-0000-0000-00006C1E0000}"/>
    <cellStyle name="Normal 16 2 2 2 3 2 2 2 5" xfId="4207" xr:uid="{00000000-0005-0000-0000-00006D1E0000}"/>
    <cellStyle name="Normal 16 2 2 2 3 2 2 2 5 2" xfId="9774" xr:uid="{00000000-0005-0000-0000-00006E1E0000}"/>
    <cellStyle name="Normal 16 2 2 2 3 2 2 2 6" xfId="7116" xr:uid="{00000000-0005-0000-0000-00006F1E0000}"/>
    <cellStyle name="Normal 16 2 2 2 3 2 2 3" xfId="836" xr:uid="{00000000-0005-0000-0000-0000701E0000}"/>
    <cellStyle name="Normal 16 2 2 2 3 2 2 3 2" xfId="1521" xr:uid="{00000000-0005-0000-0000-0000711E0000}"/>
    <cellStyle name="Normal 16 2 2 2 3 2 2 3 2 2" xfId="2443" xr:uid="{00000000-0005-0000-0000-0000721E0000}"/>
    <cellStyle name="Normal 16 2 2 2 3 2 2 3 2 2 2" xfId="5790" xr:uid="{00000000-0005-0000-0000-0000731E0000}"/>
    <cellStyle name="Normal 16 2 2 2 3 2 2 3 2 2 2 2" xfId="11104" xr:uid="{00000000-0005-0000-0000-0000741E0000}"/>
    <cellStyle name="Normal 16 2 2 2 3 2 2 3 2 2 3" xfId="8446" xr:uid="{00000000-0005-0000-0000-0000751E0000}"/>
    <cellStyle name="Normal 16 2 2 2 3 2 2 3 2 3" xfId="3364" xr:uid="{00000000-0005-0000-0000-0000761E0000}"/>
    <cellStyle name="Normal 16 2 2 2 3 2 2 3 2 3 2" xfId="6667" xr:uid="{00000000-0005-0000-0000-0000771E0000}"/>
    <cellStyle name="Normal 16 2 2 2 3 2 2 3 2 3 2 2" xfId="11981" xr:uid="{00000000-0005-0000-0000-0000781E0000}"/>
    <cellStyle name="Normal 16 2 2 2 3 2 2 3 2 3 3" xfId="9323" xr:uid="{00000000-0005-0000-0000-0000791E0000}"/>
    <cellStyle name="Normal 16 2 2 2 3 2 2 3 2 4" xfId="4913" xr:uid="{00000000-0005-0000-0000-00007A1E0000}"/>
    <cellStyle name="Normal 16 2 2 2 3 2 2 3 2 4 2" xfId="10227" xr:uid="{00000000-0005-0000-0000-00007B1E0000}"/>
    <cellStyle name="Normal 16 2 2 2 3 2 2 3 2 5" xfId="7569" xr:uid="{00000000-0005-0000-0000-00007C1E0000}"/>
    <cellStyle name="Normal 16 2 2 2 3 2 2 3 3" xfId="2007" xr:uid="{00000000-0005-0000-0000-00007D1E0000}"/>
    <cellStyle name="Normal 16 2 2 2 3 2 2 3 3 2" xfId="5354" xr:uid="{00000000-0005-0000-0000-00007E1E0000}"/>
    <cellStyle name="Normal 16 2 2 2 3 2 2 3 3 2 2" xfId="10668" xr:uid="{00000000-0005-0000-0000-00007F1E0000}"/>
    <cellStyle name="Normal 16 2 2 2 3 2 2 3 3 3" xfId="8010" xr:uid="{00000000-0005-0000-0000-0000801E0000}"/>
    <cellStyle name="Normal 16 2 2 2 3 2 2 3 4" xfId="2928" xr:uid="{00000000-0005-0000-0000-0000811E0000}"/>
    <cellStyle name="Normal 16 2 2 2 3 2 2 3 4 2" xfId="6231" xr:uid="{00000000-0005-0000-0000-0000821E0000}"/>
    <cellStyle name="Normal 16 2 2 2 3 2 2 3 4 2 2" xfId="11545" xr:uid="{00000000-0005-0000-0000-0000831E0000}"/>
    <cellStyle name="Normal 16 2 2 2 3 2 2 3 4 3" xfId="8887" xr:uid="{00000000-0005-0000-0000-0000841E0000}"/>
    <cellStyle name="Normal 16 2 2 2 3 2 2 3 5" xfId="4228" xr:uid="{00000000-0005-0000-0000-0000851E0000}"/>
    <cellStyle name="Normal 16 2 2 2 3 2 2 3 5 2" xfId="9791" xr:uid="{00000000-0005-0000-0000-0000861E0000}"/>
    <cellStyle name="Normal 16 2 2 2 3 2 2 3 6" xfId="7133" xr:uid="{00000000-0005-0000-0000-0000871E0000}"/>
    <cellStyle name="Normal 16 2 2 2 3 2 2 4" xfId="796" xr:uid="{00000000-0005-0000-0000-0000881E0000}"/>
    <cellStyle name="Normal 16 2 2 2 3 2 2 4 2" xfId="1483" xr:uid="{00000000-0005-0000-0000-0000891E0000}"/>
    <cellStyle name="Normal 16 2 2 2 3 2 2 4 2 2" xfId="2411" xr:uid="{00000000-0005-0000-0000-00008A1E0000}"/>
    <cellStyle name="Normal 16 2 2 2 3 2 2 4 2 2 2" xfId="5758" xr:uid="{00000000-0005-0000-0000-00008B1E0000}"/>
    <cellStyle name="Normal 16 2 2 2 3 2 2 4 2 2 2 2" xfId="11072" xr:uid="{00000000-0005-0000-0000-00008C1E0000}"/>
    <cellStyle name="Normal 16 2 2 2 3 2 2 4 2 2 3" xfId="8414" xr:uid="{00000000-0005-0000-0000-00008D1E0000}"/>
    <cellStyle name="Normal 16 2 2 2 3 2 2 4 2 3" xfId="3332" xr:uid="{00000000-0005-0000-0000-00008E1E0000}"/>
    <cellStyle name="Normal 16 2 2 2 3 2 2 4 2 3 2" xfId="6635" xr:uid="{00000000-0005-0000-0000-00008F1E0000}"/>
    <cellStyle name="Normal 16 2 2 2 3 2 2 4 2 3 2 2" xfId="11949" xr:uid="{00000000-0005-0000-0000-0000901E0000}"/>
    <cellStyle name="Normal 16 2 2 2 3 2 2 4 2 3 3" xfId="9291" xr:uid="{00000000-0005-0000-0000-0000911E0000}"/>
    <cellStyle name="Normal 16 2 2 2 3 2 2 4 2 4" xfId="4875" xr:uid="{00000000-0005-0000-0000-0000921E0000}"/>
    <cellStyle name="Normal 16 2 2 2 3 2 2 4 2 4 2" xfId="10195" xr:uid="{00000000-0005-0000-0000-0000931E0000}"/>
    <cellStyle name="Normal 16 2 2 2 3 2 2 4 2 5" xfId="7537" xr:uid="{00000000-0005-0000-0000-0000941E0000}"/>
    <cellStyle name="Normal 16 2 2 2 3 2 2 4 3" xfId="1973" xr:uid="{00000000-0005-0000-0000-0000951E0000}"/>
    <cellStyle name="Normal 16 2 2 2 3 2 2 4 3 2" xfId="5322" xr:uid="{00000000-0005-0000-0000-0000961E0000}"/>
    <cellStyle name="Normal 16 2 2 2 3 2 2 4 3 2 2" xfId="10636" xr:uid="{00000000-0005-0000-0000-0000971E0000}"/>
    <cellStyle name="Normal 16 2 2 2 3 2 2 4 3 3" xfId="7978" xr:uid="{00000000-0005-0000-0000-0000981E0000}"/>
    <cellStyle name="Normal 16 2 2 2 3 2 2 4 4" xfId="2894" xr:uid="{00000000-0005-0000-0000-0000991E0000}"/>
    <cellStyle name="Normal 16 2 2 2 3 2 2 4 4 2" xfId="6199" xr:uid="{00000000-0005-0000-0000-00009A1E0000}"/>
    <cellStyle name="Normal 16 2 2 2 3 2 2 4 4 2 2" xfId="11513" xr:uid="{00000000-0005-0000-0000-00009B1E0000}"/>
    <cellStyle name="Normal 16 2 2 2 3 2 2 4 4 3" xfId="8855" xr:uid="{00000000-0005-0000-0000-00009C1E0000}"/>
    <cellStyle name="Normal 16 2 2 2 3 2 2 4 5" xfId="4190" xr:uid="{00000000-0005-0000-0000-00009D1E0000}"/>
    <cellStyle name="Normal 16 2 2 2 3 2 2 4 5 2" xfId="9759" xr:uid="{00000000-0005-0000-0000-00009E1E0000}"/>
    <cellStyle name="Normal 16 2 2 2 3 2 2 4 6" xfId="7101" xr:uid="{00000000-0005-0000-0000-00009F1E0000}"/>
    <cellStyle name="Normal 16 2 2 2 3 2 2 5" xfId="1161" xr:uid="{00000000-0005-0000-0000-0000A01E0000}"/>
    <cellStyle name="Normal 16 2 2 2 3 2 2 5 2" xfId="2211" xr:uid="{00000000-0005-0000-0000-0000A11E0000}"/>
    <cellStyle name="Normal 16 2 2 2 3 2 2 5 2 2" xfId="5558" xr:uid="{00000000-0005-0000-0000-0000A21E0000}"/>
    <cellStyle name="Normal 16 2 2 2 3 2 2 5 2 2 2" xfId="10872" xr:uid="{00000000-0005-0000-0000-0000A31E0000}"/>
    <cellStyle name="Normal 16 2 2 2 3 2 2 5 2 3" xfId="8214" xr:uid="{00000000-0005-0000-0000-0000A41E0000}"/>
    <cellStyle name="Normal 16 2 2 2 3 2 2 5 3" xfId="3132" xr:uid="{00000000-0005-0000-0000-0000A51E0000}"/>
    <cellStyle name="Normal 16 2 2 2 3 2 2 5 3 2" xfId="6435" xr:uid="{00000000-0005-0000-0000-0000A61E0000}"/>
    <cellStyle name="Normal 16 2 2 2 3 2 2 5 3 2 2" xfId="11749" xr:uid="{00000000-0005-0000-0000-0000A71E0000}"/>
    <cellStyle name="Normal 16 2 2 2 3 2 2 5 3 3" xfId="9091" xr:uid="{00000000-0005-0000-0000-0000A81E0000}"/>
    <cellStyle name="Normal 16 2 2 2 3 2 2 5 4" xfId="4553" xr:uid="{00000000-0005-0000-0000-0000A91E0000}"/>
    <cellStyle name="Normal 16 2 2 2 3 2 2 5 4 2" xfId="9995" xr:uid="{00000000-0005-0000-0000-0000AA1E0000}"/>
    <cellStyle name="Normal 16 2 2 2 3 2 2 5 5" xfId="7337" xr:uid="{00000000-0005-0000-0000-0000AB1E0000}"/>
    <cellStyle name="Normal 16 2 2 2 3 2 2 6" xfId="1773" xr:uid="{00000000-0005-0000-0000-0000AC1E0000}"/>
    <cellStyle name="Normal 16 2 2 2 3 2 2 6 2" xfId="5122" xr:uid="{00000000-0005-0000-0000-0000AD1E0000}"/>
    <cellStyle name="Normal 16 2 2 2 3 2 2 6 2 2" xfId="10436" xr:uid="{00000000-0005-0000-0000-0000AE1E0000}"/>
    <cellStyle name="Normal 16 2 2 2 3 2 2 6 3" xfId="7778" xr:uid="{00000000-0005-0000-0000-0000AF1E0000}"/>
    <cellStyle name="Normal 16 2 2 2 3 2 2 7" xfId="2694" xr:uid="{00000000-0005-0000-0000-0000B01E0000}"/>
    <cellStyle name="Normal 16 2 2 2 3 2 2 7 2" xfId="5999" xr:uid="{00000000-0005-0000-0000-0000B11E0000}"/>
    <cellStyle name="Normal 16 2 2 2 3 2 2 7 2 2" xfId="11313" xr:uid="{00000000-0005-0000-0000-0000B21E0000}"/>
    <cellStyle name="Normal 16 2 2 2 3 2 2 7 3" xfId="8655" xr:uid="{00000000-0005-0000-0000-0000B31E0000}"/>
    <cellStyle name="Normal 16 2 2 2 3 2 2 8" xfId="3868" xr:uid="{00000000-0005-0000-0000-0000B41E0000}"/>
    <cellStyle name="Normal 16 2 2 2 3 2 2 8 2" xfId="9559" xr:uid="{00000000-0005-0000-0000-0000B51E0000}"/>
    <cellStyle name="Normal 16 2 2 2 3 2 2 9" xfId="6901" xr:uid="{00000000-0005-0000-0000-0000B61E0000}"/>
    <cellStyle name="Normal 16 2 2 2 3 2 3" xfId="784" xr:uid="{00000000-0005-0000-0000-0000B71E0000}"/>
    <cellStyle name="Normal 16 2 2 2 3 2 3 2" xfId="1471" xr:uid="{00000000-0005-0000-0000-0000B81E0000}"/>
    <cellStyle name="Normal 16 2 2 2 3 2 3 2 2" xfId="2399" xr:uid="{00000000-0005-0000-0000-0000B91E0000}"/>
    <cellStyle name="Normal 16 2 2 2 3 2 3 2 2 2" xfId="5746" xr:uid="{00000000-0005-0000-0000-0000BA1E0000}"/>
    <cellStyle name="Normal 16 2 2 2 3 2 3 2 2 2 2" xfId="11060" xr:uid="{00000000-0005-0000-0000-0000BB1E0000}"/>
    <cellStyle name="Normal 16 2 2 2 3 2 3 2 2 3" xfId="8402" xr:uid="{00000000-0005-0000-0000-0000BC1E0000}"/>
    <cellStyle name="Normal 16 2 2 2 3 2 3 2 3" xfId="3320" xr:uid="{00000000-0005-0000-0000-0000BD1E0000}"/>
    <cellStyle name="Normal 16 2 2 2 3 2 3 2 3 2" xfId="6623" xr:uid="{00000000-0005-0000-0000-0000BE1E0000}"/>
    <cellStyle name="Normal 16 2 2 2 3 2 3 2 3 2 2" xfId="11937" xr:uid="{00000000-0005-0000-0000-0000BF1E0000}"/>
    <cellStyle name="Normal 16 2 2 2 3 2 3 2 3 3" xfId="9279" xr:uid="{00000000-0005-0000-0000-0000C01E0000}"/>
    <cellStyle name="Normal 16 2 2 2 3 2 3 2 4" xfId="4863" xr:uid="{00000000-0005-0000-0000-0000C11E0000}"/>
    <cellStyle name="Normal 16 2 2 2 3 2 3 2 4 2" xfId="10183" xr:uid="{00000000-0005-0000-0000-0000C21E0000}"/>
    <cellStyle name="Normal 16 2 2 2 3 2 3 2 5" xfId="7525" xr:uid="{00000000-0005-0000-0000-0000C31E0000}"/>
    <cellStyle name="Normal 16 2 2 2 3 2 3 3" xfId="1961" xr:uid="{00000000-0005-0000-0000-0000C41E0000}"/>
    <cellStyle name="Normal 16 2 2 2 3 2 3 3 2" xfId="5310" xr:uid="{00000000-0005-0000-0000-0000C51E0000}"/>
    <cellStyle name="Normal 16 2 2 2 3 2 3 3 2 2" xfId="10624" xr:uid="{00000000-0005-0000-0000-0000C61E0000}"/>
    <cellStyle name="Normal 16 2 2 2 3 2 3 3 3" xfId="7966" xr:uid="{00000000-0005-0000-0000-0000C71E0000}"/>
    <cellStyle name="Normal 16 2 2 2 3 2 3 4" xfId="2882" xr:uid="{00000000-0005-0000-0000-0000C81E0000}"/>
    <cellStyle name="Normal 16 2 2 2 3 2 3 4 2" xfId="6187" xr:uid="{00000000-0005-0000-0000-0000C91E0000}"/>
    <cellStyle name="Normal 16 2 2 2 3 2 3 4 2 2" xfId="11501" xr:uid="{00000000-0005-0000-0000-0000CA1E0000}"/>
    <cellStyle name="Normal 16 2 2 2 3 2 3 4 3" xfId="8843" xr:uid="{00000000-0005-0000-0000-0000CB1E0000}"/>
    <cellStyle name="Normal 16 2 2 2 3 2 3 5" xfId="4178" xr:uid="{00000000-0005-0000-0000-0000CC1E0000}"/>
    <cellStyle name="Normal 16 2 2 2 3 2 3 5 2" xfId="9747" xr:uid="{00000000-0005-0000-0000-0000CD1E0000}"/>
    <cellStyle name="Normal 16 2 2 2 3 2 3 6" xfId="7089" xr:uid="{00000000-0005-0000-0000-0000CE1E0000}"/>
    <cellStyle name="Normal 16 2 2 2 3 2 4" xfId="1149" xr:uid="{00000000-0005-0000-0000-0000CF1E0000}"/>
    <cellStyle name="Normal 16 2 2 2 3 2 4 2" xfId="2199" xr:uid="{00000000-0005-0000-0000-0000D01E0000}"/>
    <cellStyle name="Normal 16 2 2 2 3 2 4 2 2" xfId="5546" xr:uid="{00000000-0005-0000-0000-0000D11E0000}"/>
    <cellStyle name="Normal 16 2 2 2 3 2 4 2 2 2" xfId="10860" xr:uid="{00000000-0005-0000-0000-0000D21E0000}"/>
    <cellStyle name="Normal 16 2 2 2 3 2 4 2 3" xfId="8202" xr:uid="{00000000-0005-0000-0000-0000D31E0000}"/>
    <cellStyle name="Normal 16 2 2 2 3 2 4 3" xfId="3120" xr:uid="{00000000-0005-0000-0000-0000D41E0000}"/>
    <cellStyle name="Normal 16 2 2 2 3 2 4 3 2" xfId="6423" xr:uid="{00000000-0005-0000-0000-0000D51E0000}"/>
    <cellStyle name="Normal 16 2 2 2 3 2 4 3 2 2" xfId="11737" xr:uid="{00000000-0005-0000-0000-0000D61E0000}"/>
    <cellStyle name="Normal 16 2 2 2 3 2 4 3 3" xfId="9079" xr:uid="{00000000-0005-0000-0000-0000D71E0000}"/>
    <cellStyle name="Normal 16 2 2 2 3 2 4 4" xfId="4541" xr:uid="{00000000-0005-0000-0000-0000D81E0000}"/>
    <cellStyle name="Normal 16 2 2 2 3 2 4 4 2" xfId="9983" xr:uid="{00000000-0005-0000-0000-0000D91E0000}"/>
    <cellStyle name="Normal 16 2 2 2 3 2 4 5" xfId="7325" xr:uid="{00000000-0005-0000-0000-0000DA1E0000}"/>
    <cellStyle name="Normal 16 2 2 2 3 2 5" xfId="1761" xr:uid="{00000000-0005-0000-0000-0000DB1E0000}"/>
    <cellStyle name="Normal 16 2 2 2 3 2 5 2" xfId="5110" xr:uid="{00000000-0005-0000-0000-0000DC1E0000}"/>
    <cellStyle name="Normal 16 2 2 2 3 2 5 2 2" xfId="10424" xr:uid="{00000000-0005-0000-0000-0000DD1E0000}"/>
    <cellStyle name="Normal 16 2 2 2 3 2 5 3" xfId="7766" xr:uid="{00000000-0005-0000-0000-0000DE1E0000}"/>
    <cellStyle name="Normal 16 2 2 2 3 2 6" xfId="2682" xr:uid="{00000000-0005-0000-0000-0000DF1E0000}"/>
    <cellStyle name="Normal 16 2 2 2 3 2 6 2" xfId="5987" xr:uid="{00000000-0005-0000-0000-0000E01E0000}"/>
    <cellStyle name="Normal 16 2 2 2 3 2 6 2 2" xfId="11301" xr:uid="{00000000-0005-0000-0000-0000E11E0000}"/>
    <cellStyle name="Normal 16 2 2 2 3 2 6 3" xfId="8643" xr:uid="{00000000-0005-0000-0000-0000E21E0000}"/>
    <cellStyle name="Normal 16 2 2 2 3 2 7" xfId="3856" xr:uid="{00000000-0005-0000-0000-0000E31E0000}"/>
    <cellStyle name="Normal 16 2 2 2 3 2 7 2" xfId="9547" xr:uid="{00000000-0005-0000-0000-0000E41E0000}"/>
    <cellStyle name="Normal 16 2 2 2 3 2 8" xfId="6889" xr:uid="{00000000-0005-0000-0000-0000E51E0000}"/>
    <cellStyle name="Normal 16 2 2 2 3 3" xfId="626" xr:uid="{00000000-0005-0000-0000-0000E61E0000}"/>
    <cellStyle name="Normal 16 2 2 2 3 3 2" xfId="815" xr:uid="{00000000-0005-0000-0000-0000E71E0000}"/>
    <cellStyle name="Normal 16 2 2 2 3 3 2 2" xfId="1501" xr:uid="{00000000-0005-0000-0000-0000E81E0000}"/>
    <cellStyle name="Normal 16 2 2 2 3 3 2 2 2" xfId="2427" xr:uid="{00000000-0005-0000-0000-0000E91E0000}"/>
    <cellStyle name="Normal 16 2 2 2 3 3 2 2 2 2" xfId="5774" xr:uid="{00000000-0005-0000-0000-0000EA1E0000}"/>
    <cellStyle name="Normal 16 2 2 2 3 3 2 2 2 2 2" xfId="11088" xr:uid="{00000000-0005-0000-0000-0000EB1E0000}"/>
    <cellStyle name="Normal 16 2 2 2 3 3 2 2 2 3" xfId="8430" xr:uid="{00000000-0005-0000-0000-0000EC1E0000}"/>
    <cellStyle name="Normal 16 2 2 2 3 3 2 2 3" xfId="3348" xr:uid="{00000000-0005-0000-0000-0000ED1E0000}"/>
    <cellStyle name="Normal 16 2 2 2 3 3 2 2 3 2" xfId="6651" xr:uid="{00000000-0005-0000-0000-0000EE1E0000}"/>
    <cellStyle name="Normal 16 2 2 2 3 3 2 2 3 2 2" xfId="11965" xr:uid="{00000000-0005-0000-0000-0000EF1E0000}"/>
    <cellStyle name="Normal 16 2 2 2 3 3 2 2 3 3" xfId="9307" xr:uid="{00000000-0005-0000-0000-0000F01E0000}"/>
    <cellStyle name="Normal 16 2 2 2 3 3 2 2 4" xfId="4893" xr:uid="{00000000-0005-0000-0000-0000F11E0000}"/>
    <cellStyle name="Normal 16 2 2 2 3 3 2 2 4 2" xfId="10211" xr:uid="{00000000-0005-0000-0000-0000F21E0000}"/>
    <cellStyle name="Normal 16 2 2 2 3 3 2 2 5" xfId="7553" xr:uid="{00000000-0005-0000-0000-0000F31E0000}"/>
    <cellStyle name="Normal 16 2 2 2 3 3 2 3" xfId="1990" xr:uid="{00000000-0005-0000-0000-0000F41E0000}"/>
    <cellStyle name="Normal 16 2 2 2 3 3 2 3 2" xfId="5338" xr:uid="{00000000-0005-0000-0000-0000F51E0000}"/>
    <cellStyle name="Normal 16 2 2 2 3 3 2 3 2 2" xfId="10652" xr:uid="{00000000-0005-0000-0000-0000F61E0000}"/>
    <cellStyle name="Normal 16 2 2 2 3 3 2 3 3" xfId="7994" xr:uid="{00000000-0005-0000-0000-0000F71E0000}"/>
    <cellStyle name="Normal 16 2 2 2 3 3 2 4" xfId="2911" xr:uid="{00000000-0005-0000-0000-0000F81E0000}"/>
    <cellStyle name="Normal 16 2 2 2 3 3 2 4 2" xfId="6215" xr:uid="{00000000-0005-0000-0000-0000F91E0000}"/>
    <cellStyle name="Normal 16 2 2 2 3 3 2 4 2 2" xfId="11529" xr:uid="{00000000-0005-0000-0000-0000FA1E0000}"/>
    <cellStyle name="Normal 16 2 2 2 3 3 2 4 3" xfId="8871" xr:uid="{00000000-0005-0000-0000-0000FB1E0000}"/>
    <cellStyle name="Normal 16 2 2 2 3 3 2 5" xfId="4208" xr:uid="{00000000-0005-0000-0000-0000FC1E0000}"/>
    <cellStyle name="Normal 16 2 2 2 3 3 2 5 2" xfId="9775" xr:uid="{00000000-0005-0000-0000-0000FD1E0000}"/>
    <cellStyle name="Normal 16 2 2 2 3 3 2 6" xfId="7117" xr:uid="{00000000-0005-0000-0000-0000FE1E0000}"/>
    <cellStyle name="Normal 16 2 2 2 3 3 3" xfId="1313" xr:uid="{00000000-0005-0000-0000-0000FF1E0000}"/>
    <cellStyle name="Normal 16 2 2 2 3 3 3 2" xfId="2303" xr:uid="{00000000-0005-0000-0000-0000001F0000}"/>
    <cellStyle name="Normal 16 2 2 2 3 3 3 2 2" xfId="5650" xr:uid="{00000000-0005-0000-0000-0000011F0000}"/>
    <cellStyle name="Normal 16 2 2 2 3 3 3 2 2 2" xfId="10964" xr:uid="{00000000-0005-0000-0000-0000021F0000}"/>
    <cellStyle name="Normal 16 2 2 2 3 3 3 2 3" xfId="8306" xr:uid="{00000000-0005-0000-0000-0000031F0000}"/>
    <cellStyle name="Normal 16 2 2 2 3 3 3 3" xfId="3224" xr:uid="{00000000-0005-0000-0000-0000041F0000}"/>
    <cellStyle name="Normal 16 2 2 2 3 3 3 3 2" xfId="6527" xr:uid="{00000000-0005-0000-0000-0000051F0000}"/>
    <cellStyle name="Normal 16 2 2 2 3 3 3 3 2 2" xfId="11841" xr:uid="{00000000-0005-0000-0000-0000061F0000}"/>
    <cellStyle name="Normal 16 2 2 2 3 3 3 3 3" xfId="9183" xr:uid="{00000000-0005-0000-0000-0000071F0000}"/>
    <cellStyle name="Normal 16 2 2 2 3 3 3 4" xfId="4705" xr:uid="{00000000-0005-0000-0000-0000081F0000}"/>
    <cellStyle name="Normal 16 2 2 2 3 3 3 4 2" xfId="10087" xr:uid="{00000000-0005-0000-0000-0000091F0000}"/>
    <cellStyle name="Normal 16 2 2 2 3 3 3 5" xfId="7429" xr:uid="{00000000-0005-0000-0000-00000A1F0000}"/>
    <cellStyle name="Normal 16 2 2 2 3 3 4" xfId="1865" xr:uid="{00000000-0005-0000-0000-00000B1F0000}"/>
    <cellStyle name="Normal 16 2 2 2 3 3 4 2" xfId="5214" xr:uid="{00000000-0005-0000-0000-00000C1F0000}"/>
    <cellStyle name="Normal 16 2 2 2 3 3 4 2 2" xfId="10528" xr:uid="{00000000-0005-0000-0000-00000D1F0000}"/>
    <cellStyle name="Normal 16 2 2 2 3 3 4 3" xfId="7870" xr:uid="{00000000-0005-0000-0000-00000E1F0000}"/>
    <cellStyle name="Normal 16 2 2 2 3 3 5" xfId="2786" xr:uid="{00000000-0005-0000-0000-00000F1F0000}"/>
    <cellStyle name="Normal 16 2 2 2 3 3 5 2" xfId="6091" xr:uid="{00000000-0005-0000-0000-0000101F0000}"/>
    <cellStyle name="Normal 16 2 2 2 3 3 5 2 2" xfId="11405" xr:uid="{00000000-0005-0000-0000-0000111F0000}"/>
    <cellStyle name="Normal 16 2 2 2 3 3 5 3" xfId="8747" xr:uid="{00000000-0005-0000-0000-0000121F0000}"/>
    <cellStyle name="Normal 16 2 2 2 3 3 6" xfId="4020" xr:uid="{00000000-0005-0000-0000-0000131F0000}"/>
    <cellStyle name="Normal 16 2 2 2 3 3 6 2" xfId="9651" xr:uid="{00000000-0005-0000-0000-0000141F0000}"/>
    <cellStyle name="Normal 16 2 2 2 3 3 7" xfId="6993" xr:uid="{00000000-0005-0000-0000-0000151F0000}"/>
    <cellStyle name="Normal 16 2 2 2 3 4" xfId="991" xr:uid="{00000000-0005-0000-0000-0000161F0000}"/>
    <cellStyle name="Normal 16 2 2 2 3 4 2" xfId="2103" xr:uid="{00000000-0005-0000-0000-0000171F0000}"/>
    <cellStyle name="Normal 16 2 2 2 3 4 2 2" xfId="5450" xr:uid="{00000000-0005-0000-0000-0000181F0000}"/>
    <cellStyle name="Normal 16 2 2 2 3 4 2 2 2" xfId="10764" xr:uid="{00000000-0005-0000-0000-0000191F0000}"/>
    <cellStyle name="Normal 16 2 2 2 3 4 2 3" xfId="8106" xr:uid="{00000000-0005-0000-0000-00001A1F0000}"/>
    <cellStyle name="Normal 16 2 2 2 3 4 3" xfId="3024" xr:uid="{00000000-0005-0000-0000-00001B1F0000}"/>
    <cellStyle name="Normal 16 2 2 2 3 4 3 2" xfId="6327" xr:uid="{00000000-0005-0000-0000-00001C1F0000}"/>
    <cellStyle name="Normal 16 2 2 2 3 4 3 2 2" xfId="11641" xr:uid="{00000000-0005-0000-0000-00001D1F0000}"/>
    <cellStyle name="Normal 16 2 2 2 3 4 3 3" xfId="8983" xr:uid="{00000000-0005-0000-0000-00001E1F0000}"/>
    <cellStyle name="Normal 16 2 2 2 3 4 4" xfId="4383" xr:uid="{00000000-0005-0000-0000-00001F1F0000}"/>
    <cellStyle name="Normal 16 2 2 2 3 4 4 2" xfId="9887" xr:uid="{00000000-0005-0000-0000-0000201F0000}"/>
    <cellStyle name="Normal 16 2 2 2 3 4 5" xfId="7229" xr:uid="{00000000-0005-0000-0000-0000211F0000}"/>
    <cellStyle name="Normal 16 2 2 2 3 5" xfId="1665" xr:uid="{00000000-0005-0000-0000-0000221F0000}"/>
    <cellStyle name="Normal 16 2 2 2 3 5 2" xfId="5014" xr:uid="{00000000-0005-0000-0000-0000231F0000}"/>
    <cellStyle name="Normal 16 2 2 2 3 5 2 2" xfId="10328" xr:uid="{00000000-0005-0000-0000-0000241F0000}"/>
    <cellStyle name="Normal 16 2 2 2 3 5 3" xfId="7670" xr:uid="{00000000-0005-0000-0000-0000251F0000}"/>
    <cellStyle name="Normal 16 2 2 2 3 6" xfId="2586" xr:uid="{00000000-0005-0000-0000-0000261F0000}"/>
    <cellStyle name="Normal 16 2 2 2 3 6 2" xfId="5891" xr:uid="{00000000-0005-0000-0000-0000271F0000}"/>
    <cellStyle name="Normal 16 2 2 2 3 6 2 2" xfId="11205" xr:uid="{00000000-0005-0000-0000-0000281F0000}"/>
    <cellStyle name="Normal 16 2 2 2 3 6 3" xfId="8547" xr:uid="{00000000-0005-0000-0000-0000291F0000}"/>
    <cellStyle name="Normal 16 2 2 2 3 7" xfId="3698" xr:uid="{00000000-0005-0000-0000-00002A1F0000}"/>
    <cellStyle name="Normal 16 2 2 2 3 7 2" xfId="9451" xr:uid="{00000000-0005-0000-0000-00002B1F0000}"/>
    <cellStyle name="Normal 16 2 2 2 3 8" xfId="6793" xr:uid="{00000000-0005-0000-0000-00002C1F0000}"/>
    <cellStyle name="Normal 16 2 2 2 4" xfId="428" xr:uid="{00000000-0005-0000-0000-00002D1F0000}"/>
    <cellStyle name="Normal 16 2 2 2 4 2" xfId="751" xr:uid="{00000000-0005-0000-0000-00002E1F0000}"/>
    <cellStyle name="Normal 16 2 2 2 4 2 2" xfId="1438" xr:uid="{00000000-0005-0000-0000-00002F1F0000}"/>
    <cellStyle name="Normal 16 2 2 2 4 2 2 2" xfId="2370" xr:uid="{00000000-0005-0000-0000-0000301F0000}"/>
    <cellStyle name="Normal 16 2 2 2 4 2 2 2 2" xfId="5717" xr:uid="{00000000-0005-0000-0000-0000311F0000}"/>
    <cellStyle name="Normal 16 2 2 2 4 2 2 2 2 2" xfId="11031" xr:uid="{00000000-0005-0000-0000-0000321F0000}"/>
    <cellStyle name="Normal 16 2 2 2 4 2 2 2 3" xfId="8373" xr:uid="{00000000-0005-0000-0000-0000331F0000}"/>
    <cellStyle name="Normal 16 2 2 2 4 2 2 3" xfId="3291" xr:uid="{00000000-0005-0000-0000-0000341F0000}"/>
    <cellStyle name="Normal 16 2 2 2 4 2 2 3 2" xfId="6594" xr:uid="{00000000-0005-0000-0000-0000351F0000}"/>
    <cellStyle name="Normal 16 2 2 2 4 2 2 3 2 2" xfId="11908" xr:uid="{00000000-0005-0000-0000-0000361F0000}"/>
    <cellStyle name="Normal 16 2 2 2 4 2 2 3 3" xfId="9250" xr:uid="{00000000-0005-0000-0000-0000371F0000}"/>
    <cellStyle name="Normal 16 2 2 2 4 2 2 4" xfId="4830" xr:uid="{00000000-0005-0000-0000-0000381F0000}"/>
    <cellStyle name="Normal 16 2 2 2 4 2 2 4 2" xfId="10154" xr:uid="{00000000-0005-0000-0000-0000391F0000}"/>
    <cellStyle name="Normal 16 2 2 2 4 2 2 5" xfId="7496" xr:uid="{00000000-0005-0000-0000-00003A1F0000}"/>
    <cellStyle name="Normal 16 2 2 2 4 2 3" xfId="1932" xr:uid="{00000000-0005-0000-0000-00003B1F0000}"/>
    <cellStyle name="Normal 16 2 2 2 4 2 3 2" xfId="5281" xr:uid="{00000000-0005-0000-0000-00003C1F0000}"/>
    <cellStyle name="Normal 16 2 2 2 4 2 3 2 2" xfId="10595" xr:uid="{00000000-0005-0000-0000-00003D1F0000}"/>
    <cellStyle name="Normal 16 2 2 2 4 2 3 3" xfId="7937" xr:uid="{00000000-0005-0000-0000-00003E1F0000}"/>
    <cellStyle name="Normal 16 2 2 2 4 2 4" xfId="2853" xr:uid="{00000000-0005-0000-0000-00003F1F0000}"/>
    <cellStyle name="Normal 16 2 2 2 4 2 4 2" xfId="6158" xr:uid="{00000000-0005-0000-0000-0000401F0000}"/>
    <cellStyle name="Normal 16 2 2 2 4 2 4 2 2" xfId="11472" xr:uid="{00000000-0005-0000-0000-0000411F0000}"/>
    <cellStyle name="Normal 16 2 2 2 4 2 4 3" xfId="8814" xr:uid="{00000000-0005-0000-0000-0000421F0000}"/>
    <cellStyle name="Normal 16 2 2 2 4 2 5" xfId="4145" xr:uid="{00000000-0005-0000-0000-0000431F0000}"/>
    <cellStyle name="Normal 16 2 2 2 4 2 5 2" xfId="9718" xr:uid="{00000000-0005-0000-0000-0000441F0000}"/>
    <cellStyle name="Normal 16 2 2 2 4 2 6" xfId="7060" xr:uid="{00000000-0005-0000-0000-0000451F0000}"/>
    <cellStyle name="Normal 16 2 2 2 4 3" xfId="1116" xr:uid="{00000000-0005-0000-0000-0000461F0000}"/>
    <cellStyle name="Normal 16 2 2 2 4 3 2" xfId="2170" xr:uid="{00000000-0005-0000-0000-0000471F0000}"/>
    <cellStyle name="Normal 16 2 2 2 4 3 2 2" xfId="5517" xr:uid="{00000000-0005-0000-0000-0000481F0000}"/>
    <cellStyle name="Normal 16 2 2 2 4 3 2 2 2" xfId="10831" xr:uid="{00000000-0005-0000-0000-0000491F0000}"/>
    <cellStyle name="Normal 16 2 2 2 4 3 2 3" xfId="8173" xr:uid="{00000000-0005-0000-0000-00004A1F0000}"/>
    <cellStyle name="Normal 16 2 2 2 4 3 3" xfId="3091" xr:uid="{00000000-0005-0000-0000-00004B1F0000}"/>
    <cellStyle name="Normal 16 2 2 2 4 3 3 2" xfId="6394" xr:uid="{00000000-0005-0000-0000-00004C1F0000}"/>
    <cellStyle name="Normal 16 2 2 2 4 3 3 2 2" xfId="11708" xr:uid="{00000000-0005-0000-0000-00004D1F0000}"/>
    <cellStyle name="Normal 16 2 2 2 4 3 3 3" xfId="9050" xr:uid="{00000000-0005-0000-0000-00004E1F0000}"/>
    <cellStyle name="Normal 16 2 2 2 4 3 4" xfId="4508" xr:uid="{00000000-0005-0000-0000-00004F1F0000}"/>
    <cellStyle name="Normal 16 2 2 2 4 3 4 2" xfId="9954" xr:uid="{00000000-0005-0000-0000-0000501F0000}"/>
    <cellStyle name="Normal 16 2 2 2 4 3 5" xfId="7296" xr:uid="{00000000-0005-0000-0000-0000511F0000}"/>
    <cellStyle name="Normal 16 2 2 2 4 4" xfId="1732" xr:uid="{00000000-0005-0000-0000-0000521F0000}"/>
    <cellStyle name="Normal 16 2 2 2 4 4 2" xfId="5081" xr:uid="{00000000-0005-0000-0000-0000531F0000}"/>
    <cellStyle name="Normal 16 2 2 2 4 4 2 2" xfId="10395" xr:uid="{00000000-0005-0000-0000-0000541F0000}"/>
    <cellStyle name="Normal 16 2 2 2 4 4 3" xfId="7737" xr:uid="{00000000-0005-0000-0000-0000551F0000}"/>
    <cellStyle name="Normal 16 2 2 2 4 5" xfId="2653" xr:uid="{00000000-0005-0000-0000-0000561F0000}"/>
    <cellStyle name="Normal 16 2 2 2 4 5 2" xfId="5958" xr:uid="{00000000-0005-0000-0000-0000571F0000}"/>
    <cellStyle name="Normal 16 2 2 2 4 5 2 2" xfId="11272" xr:uid="{00000000-0005-0000-0000-0000581F0000}"/>
    <cellStyle name="Normal 16 2 2 2 4 5 3" xfId="8614" xr:uid="{00000000-0005-0000-0000-0000591F0000}"/>
    <cellStyle name="Normal 16 2 2 2 4 6" xfId="3823" xr:uid="{00000000-0005-0000-0000-00005A1F0000}"/>
    <cellStyle name="Normal 16 2 2 2 4 6 2" xfId="9518" xr:uid="{00000000-0005-0000-0000-00005B1F0000}"/>
    <cellStyle name="Normal 16 2 2 2 4 7" xfId="6860" xr:uid="{00000000-0005-0000-0000-00005C1F0000}"/>
    <cellStyle name="Normal 16 2 2 2 5" xfId="460" xr:uid="{00000000-0005-0000-0000-00005D1F0000}"/>
    <cellStyle name="Normal 16 2 2 2 5 2" xfId="472" xr:uid="{00000000-0005-0000-0000-00005E1F0000}"/>
    <cellStyle name="Normal 16 2 2 2 5 2 2" xfId="811" xr:uid="{00000000-0005-0000-0000-00005F1F0000}"/>
    <cellStyle name="Normal 16 2 2 2 5 2 2 2" xfId="1497" xr:uid="{00000000-0005-0000-0000-0000601F0000}"/>
    <cellStyle name="Normal 16 2 2 2 5 2 2 2 2" xfId="2423" xr:uid="{00000000-0005-0000-0000-0000611F0000}"/>
    <cellStyle name="Normal 16 2 2 2 5 2 2 2 2 2" xfId="5770" xr:uid="{00000000-0005-0000-0000-0000621F0000}"/>
    <cellStyle name="Normal 16 2 2 2 5 2 2 2 2 2 2" xfId="11084" xr:uid="{00000000-0005-0000-0000-0000631F0000}"/>
    <cellStyle name="Normal 16 2 2 2 5 2 2 2 2 3" xfId="8426" xr:uid="{00000000-0005-0000-0000-0000641F0000}"/>
    <cellStyle name="Normal 16 2 2 2 5 2 2 2 3" xfId="3344" xr:uid="{00000000-0005-0000-0000-0000651F0000}"/>
    <cellStyle name="Normal 16 2 2 2 5 2 2 2 3 2" xfId="6647" xr:uid="{00000000-0005-0000-0000-0000661F0000}"/>
    <cellStyle name="Normal 16 2 2 2 5 2 2 2 3 2 2" xfId="11961" xr:uid="{00000000-0005-0000-0000-0000671F0000}"/>
    <cellStyle name="Normal 16 2 2 2 5 2 2 2 3 3" xfId="9303" xr:uid="{00000000-0005-0000-0000-0000681F0000}"/>
    <cellStyle name="Normal 16 2 2 2 5 2 2 2 4" xfId="4889" xr:uid="{00000000-0005-0000-0000-0000691F0000}"/>
    <cellStyle name="Normal 16 2 2 2 5 2 2 2 4 2" xfId="10207" xr:uid="{00000000-0005-0000-0000-00006A1F0000}"/>
    <cellStyle name="Normal 16 2 2 2 5 2 2 2 5" xfId="7549" xr:uid="{00000000-0005-0000-0000-00006B1F0000}"/>
    <cellStyle name="Normal 16 2 2 2 5 2 2 3" xfId="1986" xr:uid="{00000000-0005-0000-0000-00006C1F0000}"/>
    <cellStyle name="Normal 16 2 2 2 5 2 2 3 2" xfId="5334" xr:uid="{00000000-0005-0000-0000-00006D1F0000}"/>
    <cellStyle name="Normal 16 2 2 2 5 2 2 3 2 2" xfId="10648" xr:uid="{00000000-0005-0000-0000-00006E1F0000}"/>
    <cellStyle name="Normal 16 2 2 2 5 2 2 3 3" xfId="7990" xr:uid="{00000000-0005-0000-0000-00006F1F0000}"/>
    <cellStyle name="Normal 16 2 2 2 5 2 2 4" xfId="2907" xr:uid="{00000000-0005-0000-0000-0000701F0000}"/>
    <cellStyle name="Normal 16 2 2 2 5 2 2 4 2" xfId="6211" xr:uid="{00000000-0005-0000-0000-0000711F0000}"/>
    <cellStyle name="Normal 16 2 2 2 5 2 2 4 2 2" xfId="11525" xr:uid="{00000000-0005-0000-0000-0000721F0000}"/>
    <cellStyle name="Normal 16 2 2 2 5 2 2 4 3" xfId="8867" xr:uid="{00000000-0005-0000-0000-0000731F0000}"/>
    <cellStyle name="Normal 16 2 2 2 5 2 2 5" xfId="4204" xr:uid="{00000000-0005-0000-0000-0000741F0000}"/>
    <cellStyle name="Normal 16 2 2 2 5 2 2 5 2" xfId="9771" xr:uid="{00000000-0005-0000-0000-0000751F0000}"/>
    <cellStyle name="Normal 16 2 2 2 5 2 2 6" xfId="7113" xr:uid="{00000000-0005-0000-0000-0000761F0000}"/>
    <cellStyle name="Normal 16 2 2 2 5 2 3" xfId="834" xr:uid="{00000000-0005-0000-0000-0000771F0000}"/>
    <cellStyle name="Normal 16 2 2 2 5 2 3 2" xfId="1519" xr:uid="{00000000-0005-0000-0000-0000781F0000}"/>
    <cellStyle name="Normal 16 2 2 2 5 2 3 2 2" xfId="2441" xr:uid="{00000000-0005-0000-0000-0000791F0000}"/>
    <cellStyle name="Normal 16 2 2 2 5 2 3 2 2 2" xfId="5788" xr:uid="{00000000-0005-0000-0000-00007A1F0000}"/>
    <cellStyle name="Normal 16 2 2 2 5 2 3 2 2 2 2" xfId="11102" xr:uid="{00000000-0005-0000-0000-00007B1F0000}"/>
    <cellStyle name="Normal 16 2 2 2 5 2 3 2 2 3" xfId="8444" xr:uid="{00000000-0005-0000-0000-00007C1F0000}"/>
    <cellStyle name="Normal 16 2 2 2 5 2 3 2 3" xfId="3362" xr:uid="{00000000-0005-0000-0000-00007D1F0000}"/>
    <cellStyle name="Normal 16 2 2 2 5 2 3 2 3 2" xfId="6665" xr:uid="{00000000-0005-0000-0000-00007E1F0000}"/>
    <cellStyle name="Normal 16 2 2 2 5 2 3 2 3 2 2" xfId="11979" xr:uid="{00000000-0005-0000-0000-00007F1F0000}"/>
    <cellStyle name="Normal 16 2 2 2 5 2 3 2 3 3" xfId="9321" xr:uid="{00000000-0005-0000-0000-0000801F0000}"/>
    <cellStyle name="Normal 16 2 2 2 5 2 3 2 4" xfId="4911" xr:uid="{00000000-0005-0000-0000-0000811F0000}"/>
    <cellStyle name="Normal 16 2 2 2 5 2 3 2 4 2" xfId="10225" xr:uid="{00000000-0005-0000-0000-0000821F0000}"/>
    <cellStyle name="Normal 16 2 2 2 5 2 3 2 5" xfId="7567" xr:uid="{00000000-0005-0000-0000-0000831F0000}"/>
    <cellStyle name="Normal 16 2 2 2 5 2 3 3" xfId="2005" xr:uid="{00000000-0005-0000-0000-0000841F0000}"/>
    <cellStyle name="Normal 16 2 2 2 5 2 3 3 2" xfId="5352" xr:uid="{00000000-0005-0000-0000-0000851F0000}"/>
    <cellStyle name="Normal 16 2 2 2 5 2 3 3 2 2" xfId="10666" xr:uid="{00000000-0005-0000-0000-0000861F0000}"/>
    <cellStyle name="Normal 16 2 2 2 5 2 3 3 3" xfId="8008" xr:uid="{00000000-0005-0000-0000-0000871F0000}"/>
    <cellStyle name="Normal 16 2 2 2 5 2 3 4" xfId="2926" xr:uid="{00000000-0005-0000-0000-0000881F0000}"/>
    <cellStyle name="Normal 16 2 2 2 5 2 3 4 2" xfId="6229" xr:uid="{00000000-0005-0000-0000-0000891F0000}"/>
    <cellStyle name="Normal 16 2 2 2 5 2 3 4 2 2" xfId="11543" xr:uid="{00000000-0005-0000-0000-00008A1F0000}"/>
    <cellStyle name="Normal 16 2 2 2 5 2 3 4 3" xfId="8885" xr:uid="{00000000-0005-0000-0000-00008B1F0000}"/>
    <cellStyle name="Normal 16 2 2 2 5 2 3 5" xfId="4226" xr:uid="{00000000-0005-0000-0000-00008C1F0000}"/>
    <cellStyle name="Normal 16 2 2 2 5 2 3 5 2" xfId="9789" xr:uid="{00000000-0005-0000-0000-00008D1F0000}"/>
    <cellStyle name="Normal 16 2 2 2 5 2 3 6" xfId="7131" xr:uid="{00000000-0005-0000-0000-00008E1F0000}"/>
    <cellStyle name="Normal 16 2 2 2 5 2 4" xfId="794" xr:uid="{00000000-0005-0000-0000-00008F1F0000}"/>
    <cellStyle name="Normal 16 2 2 2 5 2 4 2" xfId="1481" xr:uid="{00000000-0005-0000-0000-0000901F0000}"/>
    <cellStyle name="Normal 16 2 2 2 5 2 4 2 2" xfId="2409" xr:uid="{00000000-0005-0000-0000-0000911F0000}"/>
    <cellStyle name="Normal 16 2 2 2 5 2 4 2 2 2" xfId="5756" xr:uid="{00000000-0005-0000-0000-0000921F0000}"/>
    <cellStyle name="Normal 16 2 2 2 5 2 4 2 2 2 2" xfId="11070" xr:uid="{00000000-0005-0000-0000-0000931F0000}"/>
    <cellStyle name="Normal 16 2 2 2 5 2 4 2 2 3" xfId="8412" xr:uid="{00000000-0005-0000-0000-0000941F0000}"/>
    <cellStyle name="Normal 16 2 2 2 5 2 4 2 3" xfId="3330" xr:uid="{00000000-0005-0000-0000-0000951F0000}"/>
    <cellStyle name="Normal 16 2 2 2 5 2 4 2 3 2" xfId="6633" xr:uid="{00000000-0005-0000-0000-0000961F0000}"/>
    <cellStyle name="Normal 16 2 2 2 5 2 4 2 3 2 2" xfId="11947" xr:uid="{00000000-0005-0000-0000-0000971F0000}"/>
    <cellStyle name="Normal 16 2 2 2 5 2 4 2 3 3" xfId="9289" xr:uid="{00000000-0005-0000-0000-0000981F0000}"/>
    <cellStyle name="Normal 16 2 2 2 5 2 4 2 4" xfId="4873" xr:uid="{00000000-0005-0000-0000-0000991F0000}"/>
    <cellStyle name="Normal 16 2 2 2 5 2 4 2 4 2" xfId="10193" xr:uid="{00000000-0005-0000-0000-00009A1F0000}"/>
    <cellStyle name="Normal 16 2 2 2 5 2 4 2 5" xfId="7535" xr:uid="{00000000-0005-0000-0000-00009B1F0000}"/>
    <cellStyle name="Normal 16 2 2 2 5 2 4 3" xfId="1971" xr:uid="{00000000-0005-0000-0000-00009C1F0000}"/>
    <cellStyle name="Normal 16 2 2 2 5 2 4 3 2" xfId="5320" xr:uid="{00000000-0005-0000-0000-00009D1F0000}"/>
    <cellStyle name="Normal 16 2 2 2 5 2 4 3 2 2" xfId="10634" xr:uid="{00000000-0005-0000-0000-00009E1F0000}"/>
    <cellStyle name="Normal 16 2 2 2 5 2 4 3 3" xfId="7976" xr:uid="{00000000-0005-0000-0000-00009F1F0000}"/>
    <cellStyle name="Normal 16 2 2 2 5 2 4 4" xfId="2892" xr:uid="{00000000-0005-0000-0000-0000A01F0000}"/>
    <cellStyle name="Normal 16 2 2 2 5 2 4 4 2" xfId="6197" xr:uid="{00000000-0005-0000-0000-0000A11F0000}"/>
    <cellStyle name="Normal 16 2 2 2 5 2 4 4 2 2" xfId="11511" xr:uid="{00000000-0005-0000-0000-0000A21F0000}"/>
    <cellStyle name="Normal 16 2 2 2 5 2 4 4 3" xfId="8853" xr:uid="{00000000-0005-0000-0000-0000A31F0000}"/>
    <cellStyle name="Normal 16 2 2 2 5 2 4 5" xfId="4188" xr:uid="{00000000-0005-0000-0000-0000A41F0000}"/>
    <cellStyle name="Normal 16 2 2 2 5 2 4 5 2" xfId="9757" xr:uid="{00000000-0005-0000-0000-0000A51F0000}"/>
    <cellStyle name="Normal 16 2 2 2 5 2 4 6" xfId="7099" xr:uid="{00000000-0005-0000-0000-0000A61F0000}"/>
    <cellStyle name="Normal 16 2 2 2 5 2 5" xfId="1159" xr:uid="{00000000-0005-0000-0000-0000A71F0000}"/>
    <cellStyle name="Normal 16 2 2 2 5 2 5 2" xfId="2209" xr:uid="{00000000-0005-0000-0000-0000A81F0000}"/>
    <cellStyle name="Normal 16 2 2 2 5 2 5 2 2" xfId="5556" xr:uid="{00000000-0005-0000-0000-0000A91F0000}"/>
    <cellStyle name="Normal 16 2 2 2 5 2 5 2 2 2" xfId="10870" xr:uid="{00000000-0005-0000-0000-0000AA1F0000}"/>
    <cellStyle name="Normal 16 2 2 2 5 2 5 2 3" xfId="8212" xr:uid="{00000000-0005-0000-0000-0000AB1F0000}"/>
    <cellStyle name="Normal 16 2 2 2 5 2 5 3" xfId="3130" xr:uid="{00000000-0005-0000-0000-0000AC1F0000}"/>
    <cellStyle name="Normal 16 2 2 2 5 2 5 3 2" xfId="6433" xr:uid="{00000000-0005-0000-0000-0000AD1F0000}"/>
    <cellStyle name="Normal 16 2 2 2 5 2 5 3 2 2" xfId="11747" xr:uid="{00000000-0005-0000-0000-0000AE1F0000}"/>
    <cellStyle name="Normal 16 2 2 2 5 2 5 3 3" xfId="9089" xr:uid="{00000000-0005-0000-0000-0000AF1F0000}"/>
    <cellStyle name="Normal 16 2 2 2 5 2 5 4" xfId="4551" xr:uid="{00000000-0005-0000-0000-0000B01F0000}"/>
    <cellStyle name="Normal 16 2 2 2 5 2 5 4 2" xfId="9993" xr:uid="{00000000-0005-0000-0000-0000B11F0000}"/>
    <cellStyle name="Normal 16 2 2 2 5 2 5 5" xfId="7335" xr:uid="{00000000-0005-0000-0000-0000B21F0000}"/>
    <cellStyle name="Normal 16 2 2 2 5 2 6" xfId="1771" xr:uid="{00000000-0005-0000-0000-0000B31F0000}"/>
    <cellStyle name="Normal 16 2 2 2 5 2 6 2" xfId="5120" xr:uid="{00000000-0005-0000-0000-0000B41F0000}"/>
    <cellStyle name="Normal 16 2 2 2 5 2 6 2 2" xfId="10434" xr:uid="{00000000-0005-0000-0000-0000B51F0000}"/>
    <cellStyle name="Normal 16 2 2 2 5 2 6 3" xfId="7776" xr:uid="{00000000-0005-0000-0000-0000B61F0000}"/>
    <cellStyle name="Normal 16 2 2 2 5 2 7" xfId="2692" xr:uid="{00000000-0005-0000-0000-0000B71F0000}"/>
    <cellStyle name="Normal 16 2 2 2 5 2 7 2" xfId="5997" xr:uid="{00000000-0005-0000-0000-0000B81F0000}"/>
    <cellStyle name="Normal 16 2 2 2 5 2 7 2 2" xfId="11311" xr:uid="{00000000-0005-0000-0000-0000B91F0000}"/>
    <cellStyle name="Normal 16 2 2 2 5 2 7 3" xfId="8653" xr:uid="{00000000-0005-0000-0000-0000BA1F0000}"/>
    <cellStyle name="Normal 16 2 2 2 5 2 8" xfId="3866" xr:uid="{00000000-0005-0000-0000-0000BB1F0000}"/>
    <cellStyle name="Normal 16 2 2 2 5 2 8 2" xfId="9557" xr:uid="{00000000-0005-0000-0000-0000BC1F0000}"/>
    <cellStyle name="Normal 16 2 2 2 5 2 9" xfId="6899" xr:uid="{00000000-0005-0000-0000-0000BD1F0000}"/>
    <cellStyle name="Normal 16 2 2 2 5 3" xfId="782" xr:uid="{00000000-0005-0000-0000-0000BE1F0000}"/>
    <cellStyle name="Normal 16 2 2 2 5 3 2" xfId="1469" xr:uid="{00000000-0005-0000-0000-0000BF1F0000}"/>
    <cellStyle name="Normal 16 2 2 2 5 3 2 2" xfId="2397" xr:uid="{00000000-0005-0000-0000-0000C01F0000}"/>
    <cellStyle name="Normal 16 2 2 2 5 3 2 2 2" xfId="5744" xr:uid="{00000000-0005-0000-0000-0000C11F0000}"/>
    <cellStyle name="Normal 16 2 2 2 5 3 2 2 2 2" xfId="11058" xr:uid="{00000000-0005-0000-0000-0000C21F0000}"/>
    <cellStyle name="Normal 16 2 2 2 5 3 2 2 3" xfId="8400" xr:uid="{00000000-0005-0000-0000-0000C31F0000}"/>
    <cellStyle name="Normal 16 2 2 2 5 3 2 3" xfId="3318" xr:uid="{00000000-0005-0000-0000-0000C41F0000}"/>
    <cellStyle name="Normal 16 2 2 2 5 3 2 3 2" xfId="6621" xr:uid="{00000000-0005-0000-0000-0000C51F0000}"/>
    <cellStyle name="Normal 16 2 2 2 5 3 2 3 2 2" xfId="11935" xr:uid="{00000000-0005-0000-0000-0000C61F0000}"/>
    <cellStyle name="Normal 16 2 2 2 5 3 2 3 3" xfId="9277" xr:uid="{00000000-0005-0000-0000-0000C71F0000}"/>
    <cellStyle name="Normal 16 2 2 2 5 3 2 4" xfId="4861" xr:uid="{00000000-0005-0000-0000-0000C81F0000}"/>
    <cellStyle name="Normal 16 2 2 2 5 3 2 4 2" xfId="10181" xr:uid="{00000000-0005-0000-0000-0000C91F0000}"/>
    <cellStyle name="Normal 16 2 2 2 5 3 2 5" xfId="7523" xr:uid="{00000000-0005-0000-0000-0000CA1F0000}"/>
    <cellStyle name="Normal 16 2 2 2 5 3 3" xfId="1959" xr:uid="{00000000-0005-0000-0000-0000CB1F0000}"/>
    <cellStyle name="Normal 16 2 2 2 5 3 3 2" xfId="5308" xr:uid="{00000000-0005-0000-0000-0000CC1F0000}"/>
    <cellStyle name="Normal 16 2 2 2 5 3 3 2 2" xfId="10622" xr:uid="{00000000-0005-0000-0000-0000CD1F0000}"/>
    <cellStyle name="Normal 16 2 2 2 5 3 3 3" xfId="7964" xr:uid="{00000000-0005-0000-0000-0000CE1F0000}"/>
    <cellStyle name="Normal 16 2 2 2 5 3 4" xfId="2880" xr:uid="{00000000-0005-0000-0000-0000CF1F0000}"/>
    <cellStyle name="Normal 16 2 2 2 5 3 4 2" xfId="6185" xr:uid="{00000000-0005-0000-0000-0000D01F0000}"/>
    <cellStyle name="Normal 16 2 2 2 5 3 4 2 2" xfId="11499" xr:uid="{00000000-0005-0000-0000-0000D11F0000}"/>
    <cellStyle name="Normal 16 2 2 2 5 3 4 3" xfId="8841" xr:uid="{00000000-0005-0000-0000-0000D21F0000}"/>
    <cellStyle name="Normal 16 2 2 2 5 3 5" xfId="4176" xr:uid="{00000000-0005-0000-0000-0000D31F0000}"/>
    <cellStyle name="Normal 16 2 2 2 5 3 5 2" xfId="9745" xr:uid="{00000000-0005-0000-0000-0000D41F0000}"/>
    <cellStyle name="Normal 16 2 2 2 5 3 6" xfId="7087" xr:uid="{00000000-0005-0000-0000-0000D51F0000}"/>
    <cellStyle name="Normal 16 2 2 2 5 4" xfId="1147" xr:uid="{00000000-0005-0000-0000-0000D61F0000}"/>
    <cellStyle name="Normal 16 2 2 2 5 4 2" xfId="2197" xr:uid="{00000000-0005-0000-0000-0000D71F0000}"/>
    <cellStyle name="Normal 16 2 2 2 5 4 2 2" xfId="5544" xr:uid="{00000000-0005-0000-0000-0000D81F0000}"/>
    <cellStyle name="Normal 16 2 2 2 5 4 2 2 2" xfId="10858" xr:uid="{00000000-0005-0000-0000-0000D91F0000}"/>
    <cellStyle name="Normal 16 2 2 2 5 4 2 3" xfId="8200" xr:uid="{00000000-0005-0000-0000-0000DA1F0000}"/>
    <cellStyle name="Normal 16 2 2 2 5 4 3" xfId="3118" xr:uid="{00000000-0005-0000-0000-0000DB1F0000}"/>
    <cellStyle name="Normal 16 2 2 2 5 4 3 2" xfId="6421" xr:uid="{00000000-0005-0000-0000-0000DC1F0000}"/>
    <cellStyle name="Normal 16 2 2 2 5 4 3 2 2" xfId="11735" xr:uid="{00000000-0005-0000-0000-0000DD1F0000}"/>
    <cellStyle name="Normal 16 2 2 2 5 4 3 3" xfId="9077" xr:uid="{00000000-0005-0000-0000-0000DE1F0000}"/>
    <cellStyle name="Normal 16 2 2 2 5 4 4" xfId="4539" xr:uid="{00000000-0005-0000-0000-0000DF1F0000}"/>
    <cellStyle name="Normal 16 2 2 2 5 4 4 2" xfId="9981" xr:uid="{00000000-0005-0000-0000-0000E01F0000}"/>
    <cellStyle name="Normal 16 2 2 2 5 4 5" xfId="7323" xr:uid="{00000000-0005-0000-0000-0000E11F0000}"/>
    <cellStyle name="Normal 16 2 2 2 5 5" xfId="1759" xr:uid="{00000000-0005-0000-0000-0000E21F0000}"/>
    <cellStyle name="Normal 16 2 2 2 5 5 2" xfId="5108" xr:uid="{00000000-0005-0000-0000-0000E31F0000}"/>
    <cellStyle name="Normal 16 2 2 2 5 5 2 2" xfId="10422" xr:uid="{00000000-0005-0000-0000-0000E41F0000}"/>
    <cellStyle name="Normal 16 2 2 2 5 5 3" xfId="7764" xr:uid="{00000000-0005-0000-0000-0000E51F0000}"/>
    <cellStyle name="Normal 16 2 2 2 5 6" xfId="2680" xr:uid="{00000000-0005-0000-0000-0000E61F0000}"/>
    <cellStyle name="Normal 16 2 2 2 5 6 2" xfId="5985" xr:uid="{00000000-0005-0000-0000-0000E71F0000}"/>
    <cellStyle name="Normal 16 2 2 2 5 6 2 2" xfId="11299" xr:uid="{00000000-0005-0000-0000-0000E81F0000}"/>
    <cellStyle name="Normal 16 2 2 2 5 6 3" xfId="8641" xr:uid="{00000000-0005-0000-0000-0000E91F0000}"/>
    <cellStyle name="Normal 16 2 2 2 5 7" xfId="3854" xr:uid="{00000000-0005-0000-0000-0000EA1F0000}"/>
    <cellStyle name="Normal 16 2 2 2 5 7 2" xfId="9545" xr:uid="{00000000-0005-0000-0000-0000EB1F0000}"/>
    <cellStyle name="Normal 16 2 2 2 5 8" xfId="6887" xr:uid="{00000000-0005-0000-0000-0000EC1F0000}"/>
    <cellStyle name="Normal 16 2 2 2 6" xfId="602" xr:uid="{00000000-0005-0000-0000-0000ED1F0000}"/>
    <cellStyle name="Normal 16 2 2 2 6 2" xfId="1289" xr:uid="{00000000-0005-0000-0000-0000EE1F0000}"/>
    <cellStyle name="Normal 16 2 2 2 6 2 2" xfId="2281" xr:uid="{00000000-0005-0000-0000-0000EF1F0000}"/>
    <cellStyle name="Normal 16 2 2 2 6 2 2 2" xfId="5628" xr:uid="{00000000-0005-0000-0000-0000F01F0000}"/>
    <cellStyle name="Normal 16 2 2 2 6 2 2 2 2" xfId="10942" xr:uid="{00000000-0005-0000-0000-0000F11F0000}"/>
    <cellStyle name="Normal 16 2 2 2 6 2 2 3" xfId="8284" xr:uid="{00000000-0005-0000-0000-0000F21F0000}"/>
    <cellStyle name="Normal 16 2 2 2 6 2 3" xfId="3202" xr:uid="{00000000-0005-0000-0000-0000F31F0000}"/>
    <cellStyle name="Normal 16 2 2 2 6 2 3 2" xfId="6505" xr:uid="{00000000-0005-0000-0000-0000F41F0000}"/>
    <cellStyle name="Normal 16 2 2 2 6 2 3 2 2" xfId="11819" xr:uid="{00000000-0005-0000-0000-0000F51F0000}"/>
    <cellStyle name="Normal 16 2 2 2 6 2 3 3" xfId="9161" xr:uid="{00000000-0005-0000-0000-0000F61F0000}"/>
    <cellStyle name="Normal 16 2 2 2 6 2 4" xfId="4681" xr:uid="{00000000-0005-0000-0000-0000F71F0000}"/>
    <cellStyle name="Normal 16 2 2 2 6 2 4 2" xfId="10065" xr:uid="{00000000-0005-0000-0000-0000F81F0000}"/>
    <cellStyle name="Normal 16 2 2 2 6 2 5" xfId="7407" xr:uid="{00000000-0005-0000-0000-0000F91F0000}"/>
    <cellStyle name="Normal 16 2 2 2 6 3" xfId="1843" xr:uid="{00000000-0005-0000-0000-0000FA1F0000}"/>
    <cellStyle name="Normal 16 2 2 2 6 3 2" xfId="5192" xr:uid="{00000000-0005-0000-0000-0000FB1F0000}"/>
    <cellStyle name="Normal 16 2 2 2 6 3 2 2" xfId="10506" xr:uid="{00000000-0005-0000-0000-0000FC1F0000}"/>
    <cellStyle name="Normal 16 2 2 2 6 3 3" xfId="7848" xr:uid="{00000000-0005-0000-0000-0000FD1F0000}"/>
    <cellStyle name="Normal 16 2 2 2 6 4" xfId="2764" xr:uid="{00000000-0005-0000-0000-0000FE1F0000}"/>
    <cellStyle name="Normal 16 2 2 2 6 4 2" xfId="6069" xr:uid="{00000000-0005-0000-0000-0000FF1F0000}"/>
    <cellStyle name="Normal 16 2 2 2 6 4 2 2" xfId="11383" xr:uid="{00000000-0005-0000-0000-000000200000}"/>
    <cellStyle name="Normal 16 2 2 2 6 4 3" xfId="8725" xr:uid="{00000000-0005-0000-0000-000001200000}"/>
    <cellStyle name="Normal 16 2 2 2 6 5" xfId="3996" xr:uid="{00000000-0005-0000-0000-000002200000}"/>
    <cellStyle name="Normal 16 2 2 2 6 5 2" xfId="9629" xr:uid="{00000000-0005-0000-0000-000003200000}"/>
    <cellStyle name="Normal 16 2 2 2 6 6" xfId="6971" xr:uid="{00000000-0005-0000-0000-000004200000}"/>
    <cellStyle name="Normal 16 2 2 2 7" xfId="967" xr:uid="{00000000-0005-0000-0000-000005200000}"/>
    <cellStyle name="Normal 16 2 2 2 7 2" xfId="2081" xr:uid="{00000000-0005-0000-0000-000006200000}"/>
    <cellStyle name="Normal 16 2 2 2 7 2 2" xfId="5428" xr:uid="{00000000-0005-0000-0000-000007200000}"/>
    <cellStyle name="Normal 16 2 2 2 7 2 2 2" xfId="10742" xr:uid="{00000000-0005-0000-0000-000008200000}"/>
    <cellStyle name="Normal 16 2 2 2 7 2 3" xfId="8084" xr:uid="{00000000-0005-0000-0000-000009200000}"/>
    <cellStyle name="Normal 16 2 2 2 7 3" xfId="3002" xr:uid="{00000000-0005-0000-0000-00000A200000}"/>
    <cellStyle name="Normal 16 2 2 2 7 3 2" xfId="6305" xr:uid="{00000000-0005-0000-0000-00000B200000}"/>
    <cellStyle name="Normal 16 2 2 2 7 3 2 2" xfId="11619" xr:uid="{00000000-0005-0000-0000-00000C200000}"/>
    <cellStyle name="Normal 16 2 2 2 7 3 3" xfId="8961" xr:uid="{00000000-0005-0000-0000-00000D200000}"/>
    <cellStyle name="Normal 16 2 2 2 7 4" xfId="4359" xr:uid="{00000000-0005-0000-0000-00000E200000}"/>
    <cellStyle name="Normal 16 2 2 2 7 4 2" xfId="9865" xr:uid="{00000000-0005-0000-0000-00000F200000}"/>
    <cellStyle name="Normal 16 2 2 2 7 5" xfId="7207" xr:uid="{00000000-0005-0000-0000-000010200000}"/>
    <cellStyle name="Normal 16 2 2 2 8" xfId="1642" xr:uid="{00000000-0005-0000-0000-000011200000}"/>
    <cellStyle name="Normal 16 2 2 2 8 2" xfId="4992" xr:uid="{00000000-0005-0000-0000-000012200000}"/>
    <cellStyle name="Normal 16 2 2 2 8 2 2" xfId="10306" xr:uid="{00000000-0005-0000-0000-000013200000}"/>
    <cellStyle name="Normal 16 2 2 2 8 3" xfId="7648" xr:uid="{00000000-0005-0000-0000-000014200000}"/>
    <cellStyle name="Normal 16 2 2 2 9" xfId="2563" xr:uid="{00000000-0005-0000-0000-000015200000}"/>
    <cellStyle name="Normal 16 2 2 2 9 2" xfId="5869" xr:uid="{00000000-0005-0000-0000-000016200000}"/>
    <cellStyle name="Normal 16 2 2 2 9 2 2" xfId="11183" xr:uid="{00000000-0005-0000-0000-000017200000}"/>
    <cellStyle name="Normal 16 2 2 2 9 3" xfId="8525" xr:uid="{00000000-0005-0000-0000-000018200000}"/>
    <cellStyle name="Normal 16 2 2 3" xfId="425" xr:uid="{00000000-0005-0000-0000-000019200000}"/>
    <cellStyle name="Normal 16 2 2 3 2" xfId="748" xr:uid="{00000000-0005-0000-0000-00001A200000}"/>
    <cellStyle name="Normal 16 2 2 3 2 2" xfId="1435" xr:uid="{00000000-0005-0000-0000-00001B200000}"/>
    <cellStyle name="Normal 16 2 2 3 2 2 2" xfId="2367" xr:uid="{00000000-0005-0000-0000-00001C200000}"/>
    <cellStyle name="Normal 16 2 2 3 2 2 2 2" xfId="5714" xr:uid="{00000000-0005-0000-0000-00001D200000}"/>
    <cellStyle name="Normal 16 2 2 3 2 2 2 2 2" xfId="11028" xr:uid="{00000000-0005-0000-0000-00001E200000}"/>
    <cellStyle name="Normal 16 2 2 3 2 2 2 3" xfId="8370" xr:uid="{00000000-0005-0000-0000-00001F200000}"/>
    <cellStyle name="Normal 16 2 2 3 2 2 3" xfId="3288" xr:uid="{00000000-0005-0000-0000-000020200000}"/>
    <cellStyle name="Normal 16 2 2 3 2 2 3 2" xfId="6591" xr:uid="{00000000-0005-0000-0000-000021200000}"/>
    <cellStyle name="Normal 16 2 2 3 2 2 3 2 2" xfId="11905" xr:uid="{00000000-0005-0000-0000-000022200000}"/>
    <cellStyle name="Normal 16 2 2 3 2 2 3 3" xfId="9247" xr:uid="{00000000-0005-0000-0000-000023200000}"/>
    <cellStyle name="Normal 16 2 2 3 2 2 4" xfId="4827" xr:uid="{00000000-0005-0000-0000-000024200000}"/>
    <cellStyle name="Normal 16 2 2 3 2 2 4 2" xfId="10151" xr:uid="{00000000-0005-0000-0000-000025200000}"/>
    <cellStyle name="Normal 16 2 2 3 2 2 5" xfId="7493" xr:uid="{00000000-0005-0000-0000-000026200000}"/>
    <cellStyle name="Normal 16 2 2 3 2 3" xfId="1929" xr:uid="{00000000-0005-0000-0000-000027200000}"/>
    <cellStyle name="Normal 16 2 2 3 2 3 2" xfId="5278" xr:uid="{00000000-0005-0000-0000-000028200000}"/>
    <cellStyle name="Normal 16 2 2 3 2 3 2 2" xfId="10592" xr:uid="{00000000-0005-0000-0000-000029200000}"/>
    <cellStyle name="Normal 16 2 2 3 2 3 3" xfId="7934" xr:uid="{00000000-0005-0000-0000-00002A200000}"/>
    <cellStyle name="Normal 16 2 2 3 2 4" xfId="2850" xr:uid="{00000000-0005-0000-0000-00002B200000}"/>
    <cellStyle name="Normal 16 2 2 3 2 4 2" xfId="6155" xr:uid="{00000000-0005-0000-0000-00002C200000}"/>
    <cellStyle name="Normal 16 2 2 3 2 4 2 2" xfId="11469" xr:uid="{00000000-0005-0000-0000-00002D200000}"/>
    <cellStyle name="Normal 16 2 2 3 2 4 3" xfId="8811" xr:uid="{00000000-0005-0000-0000-00002E200000}"/>
    <cellStyle name="Normal 16 2 2 3 2 5" xfId="4142" xr:uid="{00000000-0005-0000-0000-00002F200000}"/>
    <cellStyle name="Normal 16 2 2 3 2 5 2" xfId="9715" xr:uid="{00000000-0005-0000-0000-000030200000}"/>
    <cellStyle name="Normal 16 2 2 3 2 6" xfId="7057" xr:uid="{00000000-0005-0000-0000-000031200000}"/>
    <cellStyle name="Normal 16 2 2 3 3" xfId="1113" xr:uid="{00000000-0005-0000-0000-000032200000}"/>
    <cellStyle name="Normal 16 2 2 3 3 2" xfId="2167" xr:uid="{00000000-0005-0000-0000-000033200000}"/>
    <cellStyle name="Normal 16 2 2 3 3 2 2" xfId="5514" xr:uid="{00000000-0005-0000-0000-000034200000}"/>
    <cellStyle name="Normal 16 2 2 3 3 2 2 2" xfId="10828" xr:uid="{00000000-0005-0000-0000-000035200000}"/>
    <cellStyle name="Normal 16 2 2 3 3 2 3" xfId="8170" xr:uid="{00000000-0005-0000-0000-000036200000}"/>
    <cellStyle name="Normal 16 2 2 3 3 3" xfId="3088" xr:uid="{00000000-0005-0000-0000-000037200000}"/>
    <cellStyle name="Normal 16 2 2 3 3 3 2" xfId="6391" xr:uid="{00000000-0005-0000-0000-000038200000}"/>
    <cellStyle name="Normal 16 2 2 3 3 3 2 2" xfId="11705" xr:uid="{00000000-0005-0000-0000-000039200000}"/>
    <cellStyle name="Normal 16 2 2 3 3 3 3" xfId="9047" xr:uid="{00000000-0005-0000-0000-00003A200000}"/>
    <cellStyle name="Normal 16 2 2 3 3 4" xfId="4505" xr:uid="{00000000-0005-0000-0000-00003B200000}"/>
    <cellStyle name="Normal 16 2 2 3 3 4 2" xfId="9951" xr:uid="{00000000-0005-0000-0000-00003C200000}"/>
    <cellStyle name="Normal 16 2 2 3 3 5" xfId="7293" xr:uid="{00000000-0005-0000-0000-00003D200000}"/>
    <cellStyle name="Normal 16 2 2 3 4" xfId="1729" xr:uid="{00000000-0005-0000-0000-00003E200000}"/>
    <cellStyle name="Normal 16 2 2 3 4 2" xfId="5078" xr:uid="{00000000-0005-0000-0000-00003F200000}"/>
    <cellStyle name="Normal 16 2 2 3 4 2 2" xfId="10392" xr:uid="{00000000-0005-0000-0000-000040200000}"/>
    <cellStyle name="Normal 16 2 2 3 4 3" xfId="7734" xr:uid="{00000000-0005-0000-0000-000041200000}"/>
    <cellStyle name="Normal 16 2 2 3 5" xfId="2650" xr:uid="{00000000-0005-0000-0000-000042200000}"/>
    <cellStyle name="Normal 16 2 2 3 5 2" xfId="5955" xr:uid="{00000000-0005-0000-0000-000043200000}"/>
    <cellStyle name="Normal 16 2 2 3 5 2 2" xfId="11269" xr:uid="{00000000-0005-0000-0000-000044200000}"/>
    <cellStyle name="Normal 16 2 2 3 5 3" xfId="8611" xr:uid="{00000000-0005-0000-0000-000045200000}"/>
    <cellStyle name="Normal 16 2 2 3 6" xfId="3820" xr:uid="{00000000-0005-0000-0000-000046200000}"/>
    <cellStyle name="Normal 16 2 2 3 6 2" xfId="9515" xr:uid="{00000000-0005-0000-0000-000047200000}"/>
    <cellStyle name="Normal 16 2 2 3 7" xfId="6857" xr:uid="{00000000-0005-0000-0000-000048200000}"/>
    <cellStyle name="Normal 16 2 2 4" xfId="599" xr:uid="{00000000-0005-0000-0000-000049200000}"/>
    <cellStyle name="Normal 16 2 2 4 2" xfId="1286" xr:uid="{00000000-0005-0000-0000-00004A200000}"/>
    <cellStyle name="Normal 16 2 2 4 2 2" xfId="2278" xr:uid="{00000000-0005-0000-0000-00004B200000}"/>
    <cellStyle name="Normal 16 2 2 4 2 2 2" xfId="5625" xr:uid="{00000000-0005-0000-0000-00004C200000}"/>
    <cellStyle name="Normal 16 2 2 4 2 2 2 2" xfId="10939" xr:uid="{00000000-0005-0000-0000-00004D200000}"/>
    <cellStyle name="Normal 16 2 2 4 2 2 3" xfId="8281" xr:uid="{00000000-0005-0000-0000-00004E200000}"/>
    <cellStyle name="Normal 16 2 2 4 2 3" xfId="3199" xr:uid="{00000000-0005-0000-0000-00004F200000}"/>
    <cellStyle name="Normal 16 2 2 4 2 3 2" xfId="6502" xr:uid="{00000000-0005-0000-0000-000050200000}"/>
    <cellStyle name="Normal 16 2 2 4 2 3 2 2" xfId="11816" xr:uid="{00000000-0005-0000-0000-000051200000}"/>
    <cellStyle name="Normal 16 2 2 4 2 3 3" xfId="9158" xr:uid="{00000000-0005-0000-0000-000052200000}"/>
    <cellStyle name="Normal 16 2 2 4 2 4" xfId="4678" xr:uid="{00000000-0005-0000-0000-000053200000}"/>
    <cellStyle name="Normal 16 2 2 4 2 4 2" xfId="10062" xr:uid="{00000000-0005-0000-0000-000054200000}"/>
    <cellStyle name="Normal 16 2 2 4 2 5" xfId="7404" xr:uid="{00000000-0005-0000-0000-000055200000}"/>
    <cellStyle name="Normal 16 2 2 4 3" xfId="1840" xr:uid="{00000000-0005-0000-0000-000056200000}"/>
    <cellStyle name="Normal 16 2 2 4 3 2" xfId="5189" xr:uid="{00000000-0005-0000-0000-000057200000}"/>
    <cellStyle name="Normal 16 2 2 4 3 2 2" xfId="10503" xr:uid="{00000000-0005-0000-0000-000058200000}"/>
    <cellStyle name="Normal 16 2 2 4 3 3" xfId="7845" xr:uid="{00000000-0005-0000-0000-000059200000}"/>
    <cellStyle name="Normal 16 2 2 4 4" xfId="2761" xr:uid="{00000000-0005-0000-0000-00005A200000}"/>
    <cellStyle name="Normal 16 2 2 4 4 2" xfId="6066" xr:uid="{00000000-0005-0000-0000-00005B200000}"/>
    <cellStyle name="Normal 16 2 2 4 4 2 2" xfId="11380" xr:uid="{00000000-0005-0000-0000-00005C200000}"/>
    <cellStyle name="Normal 16 2 2 4 4 3" xfId="8722" xr:uid="{00000000-0005-0000-0000-00005D200000}"/>
    <cellStyle name="Normal 16 2 2 4 5" xfId="3993" xr:uid="{00000000-0005-0000-0000-00005E200000}"/>
    <cellStyle name="Normal 16 2 2 4 5 2" xfId="9626" xr:uid="{00000000-0005-0000-0000-00005F200000}"/>
    <cellStyle name="Normal 16 2 2 4 6" xfId="6968" xr:uid="{00000000-0005-0000-0000-000060200000}"/>
    <cellStyle name="Normal 16 2 2 5" xfId="964" xr:uid="{00000000-0005-0000-0000-000061200000}"/>
    <cellStyle name="Normal 16 2 2 5 2" xfId="2078" xr:uid="{00000000-0005-0000-0000-000062200000}"/>
    <cellStyle name="Normal 16 2 2 5 2 2" xfId="5425" xr:uid="{00000000-0005-0000-0000-000063200000}"/>
    <cellStyle name="Normal 16 2 2 5 2 2 2" xfId="10739" xr:uid="{00000000-0005-0000-0000-000064200000}"/>
    <cellStyle name="Normal 16 2 2 5 2 3" xfId="8081" xr:uid="{00000000-0005-0000-0000-000065200000}"/>
    <cellStyle name="Normal 16 2 2 5 3" xfId="2999" xr:uid="{00000000-0005-0000-0000-000066200000}"/>
    <cellStyle name="Normal 16 2 2 5 3 2" xfId="6302" xr:uid="{00000000-0005-0000-0000-000067200000}"/>
    <cellStyle name="Normal 16 2 2 5 3 2 2" xfId="11616" xr:uid="{00000000-0005-0000-0000-000068200000}"/>
    <cellStyle name="Normal 16 2 2 5 3 3" xfId="8958" xr:uid="{00000000-0005-0000-0000-000069200000}"/>
    <cellStyle name="Normal 16 2 2 5 4" xfId="4356" xr:uid="{00000000-0005-0000-0000-00006A200000}"/>
    <cellStyle name="Normal 16 2 2 5 4 2" xfId="9862" xr:uid="{00000000-0005-0000-0000-00006B200000}"/>
    <cellStyle name="Normal 16 2 2 5 5" xfId="7204" xr:uid="{00000000-0005-0000-0000-00006C200000}"/>
    <cellStyle name="Normal 16 2 2 6" xfId="1639" xr:uid="{00000000-0005-0000-0000-00006D200000}"/>
    <cellStyle name="Normal 16 2 2 6 2" xfId="4989" xr:uid="{00000000-0005-0000-0000-00006E200000}"/>
    <cellStyle name="Normal 16 2 2 6 2 2" xfId="10303" xr:uid="{00000000-0005-0000-0000-00006F200000}"/>
    <cellStyle name="Normal 16 2 2 6 3" xfId="7645" xr:uid="{00000000-0005-0000-0000-000070200000}"/>
    <cellStyle name="Normal 16 2 2 7" xfId="2560" xr:uid="{00000000-0005-0000-0000-000071200000}"/>
    <cellStyle name="Normal 16 2 2 7 2" xfId="5866" xr:uid="{00000000-0005-0000-0000-000072200000}"/>
    <cellStyle name="Normal 16 2 2 7 2 2" xfId="11180" xr:uid="{00000000-0005-0000-0000-000073200000}"/>
    <cellStyle name="Normal 16 2 2 7 3" xfId="8522" xr:uid="{00000000-0005-0000-0000-000074200000}"/>
    <cellStyle name="Normal 16 2 2 8" xfId="3671" xr:uid="{00000000-0005-0000-0000-000075200000}"/>
    <cellStyle name="Normal 16 2 2 8 2" xfId="9426" xr:uid="{00000000-0005-0000-0000-000076200000}"/>
    <cellStyle name="Normal 16 2 2 9" xfId="6763" xr:uid="{00000000-0005-0000-0000-000077200000}"/>
    <cellStyle name="Normal 16 2 3" xfId="392" xr:uid="{00000000-0005-0000-0000-000078200000}"/>
    <cellStyle name="Normal 16 2 3 2" xfId="715" xr:uid="{00000000-0005-0000-0000-000079200000}"/>
    <cellStyle name="Normal 16 2 3 2 2" xfId="1402" xr:uid="{00000000-0005-0000-0000-00007A200000}"/>
    <cellStyle name="Normal 16 2 3 2 2 2" xfId="2335" xr:uid="{00000000-0005-0000-0000-00007B200000}"/>
    <cellStyle name="Normal 16 2 3 2 2 2 2" xfId="5682" xr:uid="{00000000-0005-0000-0000-00007C200000}"/>
    <cellStyle name="Normal 16 2 3 2 2 2 2 2" xfId="10996" xr:uid="{00000000-0005-0000-0000-00007D200000}"/>
    <cellStyle name="Normal 16 2 3 2 2 2 3" xfId="8338" xr:uid="{00000000-0005-0000-0000-00007E200000}"/>
    <cellStyle name="Normal 16 2 3 2 2 3" xfId="3256" xr:uid="{00000000-0005-0000-0000-00007F200000}"/>
    <cellStyle name="Normal 16 2 3 2 2 3 2" xfId="6559" xr:uid="{00000000-0005-0000-0000-000080200000}"/>
    <cellStyle name="Normal 16 2 3 2 2 3 2 2" xfId="11873" xr:uid="{00000000-0005-0000-0000-000081200000}"/>
    <cellStyle name="Normal 16 2 3 2 2 3 3" xfId="9215" xr:uid="{00000000-0005-0000-0000-000082200000}"/>
    <cellStyle name="Normal 16 2 3 2 2 4" xfId="4794" xr:uid="{00000000-0005-0000-0000-000083200000}"/>
    <cellStyle name="Normal 16 2 3 2 2 4 2" xfId="10119" xr:uid="{00000000-0005-0000-0000-000084200000}"/>
    <cellStyle name="Normal 16 2 3 2 2 5" xfId="7461" xr:uid="{00000000-0005-0000-0000-000085200000}"/>
    <cellStyle name="Normal 16 2 3 2 3" xfId="1897" xr:uid="{00000000-0005-0000-0000-000086200000}"/>
    <cellStyle name="Normal 16 2 3 2 3 2" xfId="5246" xr:uid="{00000000-0005-0000-0000-000087200000}"/>
    <cellStyle name="Normal 16 2 3 2 3 2 2" xfId="10560" xr:uid="{00000000-0005-0000-0000-000088200000}"/>
    <cellStyle name="Normal 16 2 3 2 3 3" xfId="7902" xr:uid="{00000000-0005-0000-0000-000089200000}"/>
    <cellStyle name="Normal 16 2 3 2 4" xfId="2818" xr:uid="{00000000-0005-0000-0000-00008A200000}"/>
    <cellStyle name="Normal 16 2 3 2 4 2" xfId="6123" xr:uid="{00000000-0005-0000-0000-00008B200000}"/>
    <cellStyle name="Normal 16 2 3 2 4 2 2" xfId="11437" xr:uid="{00000000-0005-0000-0000-00008C200000}"/>
    <cellStyle name="Normal 16 2 3 2 4 3" xfId="8779" xr:uid="{00000000-0005-0000-0000-00008D200000}"/>
    <cellStyle name="Normal 16 2 3 2 5" xfId="4109" xr:uid="{00000000-0005-0000-0000-00008E200000}"/>
    <cellStyle name="Normal 16 2 3 2 5 2" xfId="9683" xr:uid="{00000000-0005-0000-0000-00008F200000}"/>
    <cellStyle name="Normal 16 2 3 2 6" xfId="7025" xr:uid="{00000000-0005-0000-0000-000090200000}"/>
    <cellStyle name="Normal 16 2 3 3" xfId="1080" xr:uid="{00000000-0005-0000-0000-000091200000}"/>
    <cellStyle name="Normal 16 2 3 3 2" xfId="2135" xr:uid="{00000000-0005-0000-0000-000092200000}"/>
    <cellStyle name="Normal 16 2 3 3 2 2" xfId="5482" xr:uid="{00000000-0005-0000-0000-000093200000}"/>
    <cellStyle name="Normal 16 2 3 3 2 2 2" xfId="10796" xr:uid="{00000000-0005-0000-0000-000094200000}"/>
    <cellStyle name="Normal 16 2 3 3 2 3" xfId="8138" xr:uid="{00000000-0005-0000-0000-000095200000}"/>
    <cellStyle name="Normal 16 2 3 3 3" xfId="3056" xr:uid="{00000000-0005-0000-0000-000096200000}"/>
    <cellStyle name="Normal 16 2 3 3 3 2" xfId="6359" xr:uid="{00000000-0005-0000-0000-000097200000}"/>
    <cellStyle name="Normal 16 2 3 3 3 2 2" xfId="11673" xr:uid="{00000000-0005-0000-0000-000098200000}"/>
    <cellStyle name="Normal 16 2 3 3 3 3" xfId="9015" xr:uid="{00000000-0005-0000-0000-000099200000}"/>
    <cellStyle name="Normal 16 2 3 3 4" xfId="4472" xr:uid="{00000000-0005-0000-0000-00009A200000}"/>
    <cellStyle name="Normal 16 2 3 3 4 2" xfId="9919" xr:uid="{00000000-0005-0000-0000-00009B200000}"/>
    <cellStyle name="Normal 16 2 3 3 5" xfId="7261" xr:uid="{00000000-0005-0000-0000-00009C200000}"/>
    <cellStyle name="Normal 16 2 3 4" xfId="1697" xr:uid="{00000000-0005-0000-0000-00009D200000}"/>
    <cellStyle name="Normal 16 2 3 4 2" xfId="5046" xr:uid="{00000000-0005-0000-0000-00009E200000}"/>
    <cellStyle name="Normal 16 2 3 4 2 2" xfId="10360" xr:uid="{00000000-0005-0000-0000-00009F200000}"/>
    <cellStyle name="Normal 16 2 3 4 3" xfId="7702" xr:uid="{00000000-0005-0000-0000-0000A0200000}"/>
    <cellStyle name="Normal 16 2 3 5" xfId="2618" xr:uid="{00000000-0005-0000-0000-0000A1200000}"/>
    <cellStyle name="Normal 16 2 3 5 2" xfId="5923" xr:uid="{00000000-0005-0000-0000-0000A2200000}"/>
    <cellStyle name="Normal 16 2 3 5 2 2" xfId="11237" xr:uid="{00000000-0005-0000-0000-0000A3200000}"/>
    <cellStyle name="Normal 16 2 3 5 3" xfId="8579" xr:uid="{00000000-0005-0000-0000-0000A4200000}"/>
    <cellStyle name="Normal 16 2 3 6" xfId="3787" xr:uid="{00000000-0005-0000-0000-0000A5200000}"/>
    <cellStyle name="Normal 16 2 3 6 2" xfId="9483" xr:uid="{00000000-0005-0000-0000-0000A6200000}"/>
    <cellStyle name="Normal 16 2 3 7" xfId="6825" xr:uid="{00000000-0005-0000-0000-0000A7200000}"/>
    <cellStyle name="Normal 16 2 4" xfId="567" xr:uid="{00000000-0005-0000-0000-0000A8200000}"/>
    <cellStyle name="Normal 16 2 4 2" xfId="1254" xr:uid="{00000000-0005-0000-0000-0000A9200000}"/>
    <cellStyle name="Normal 16 2 4 2 2" xfId="2246" xr:uid="{00000000-0005-0000-0000-0000AA200000}"/>
    <cellStyle name="Normal 16 2 4 2 2 2" xfId="5593" xr:uid="{00000000-0005-0000-0000-0000AB200000}"/>
    <cellStyle name="Normal 16 2 4 2 2 2 2" xfId="10907" xr:uid="{00000000-0005-0000-0000-0000AC200000}"/>
    <cellStyle name="Normal 16 2 4 2 2 3" xfId="8249" xr:uid="{00000000-0005-0000-0000-0000AD200000}"/>
    <cellStyle name="Normal 16 2 4 2 3" xfId="3167" xr:uid="{00000000-0005-0000-0000-0000AE200000}"/>
    <cellStyle name="Normal 16 2 4 2 3 2" xfId="6470" xr:uid="{00000000-0005-0000-0000-0000AF200000}"/>
    <cellStyle name="Normal 16 2 4 2 3 2 2" xfId="11784" xr:uid="{00000000-0005-0000-0000-0000B0200000}"/>
    <cellStyle name="Normal 16 2 4 2 3 3" xfId="9126" xr:uid="{00000000-0005-0000-0000-0000B1200000}"/>
    <cellStyle name="Normal 16 2 4 2 4" xfId="4646" xr:uid="{00000000-0005-0000-0000-0000B2200000}"/>
    <cellStyle name="Normal 16 2 4 2 4 2" xfId="10030" xr:uid="{00000000-0005-0000-0000-0000B3200000}"/>
    <cellStyle name="Normal 16 2 4 2 5" xfId="7372" xr:uid="{00000000-0005-0000-0000-0000B4200000}"/>
    <cellStyle name="Normal 16 2 4 3" xfId="1808" xr:uid="{00000000-0005-0000-0000-0000B5200000}"/>
    <cellStyle name="Normal 16 2 4 3 2" xfId="5157" xr:uid="{00000000-0005-0000-0000-0000B6200000}"/>
    <cellStyle name="Normal 16 2 4 3 2 2" xfId="10471" xr:uid="{00000000-0005-0000-0000-0000B7200000}"/>
    <cellStyle name="Normal 16 2 4 3 3" xfId="7813" xr:uid="{00000000-0005-0000-0000-0000B8200000}"/>
    <cellStyle name="Normal 16 2 4 4" xfId="2729" xr:uid="{00000000-0005-0000-0000-0000B9200000}"/>
    <cellStyle name="Normal 16 2 4 4 2" xfId="6034" xr:uid="{00000000-0005-0000-0000-0000BA200000}"/>
    <cellStyle name="Normal 16 2 4 4 2 2" xfId="11348" xr:uid="{00000000-0005-0000-0000-0000BB200000}"/>
    <cellStyle name="Normal 16 2 4 4 3" xfId="8690" xr:uid="{00000000-0005-0000-0000-0000BC200000}"/>
    <cellStyle name="Normal 16 2 4 5" xfId="3961" xr:uid="{00000000-0005-0000-0000-0000BD200000}"/>
    <cellStyle name="Normal 16 2 4 5 2" xfId="9594" xr:uid="{00000000-0005-0000-0000-0000BE200000}"/>
    <cellStyle name="Normal 16 2 4 6" xfId="6936" xr:uid="{00000000-0005-0000-0000-0000BF200000}"/>
    <cellStyle name="Normal 16 2 5" xfId="932" xr:uid="{00000000-0005-0000-0000-0000C0200000}"/>
    <cellStyle name="Normal 16 2 5 2" xfId="2046" xr:uid="{00000000-0005-0000-0000-0000C1200000}"/>
    <cellStyle name="Normal 16 2 5 2 2" xfId="5393" xr:uid="{00000000-0005-0000-0000-0000C2200000}"/>
    <cellStyle name="Normal 16 2 5 2 2 2" xfId="10707" xr:uid="{00000000-0005-0000-0000-0000C3200000}"/>
    <cellStyle name="Normal 16 2 5 2 3" xfId="8049" xr:uid="{00000000-0005-0000-0000-0000C4200000}"/>
    <cellStyle name="Normal 16 2 5 3" xfId="2967" xr:uid="{00000000-0005-0000-0000-0000C5200000}"/>
    <cellStyle name="Normal 16 2 5 3 2" xfId="6270" xr:uid="{00000000-0005-0000-0000-0000C6200000}"/>
    <cellStyle name="Normal 16 2 5 3 2 2" xfId="11584" xr:uid="{00000000-0005-0000-0000-0000C7200000}"/>
    <cellStyle name="Normal 16 2 5 3 3" xfId="8926" xr:uid="{00000000-0005-0000-0000-0000C8200000}"/>
    <cellStyle name="Normal 16 2 5 4" xfId="4324" xr:uid="{00000000-0005-0000-0000-0000C9200000}"/>
    <cellStyle name="Normal 16 2 5 4 2" xfId="9830" xr:uid="{00000000-0005-0000-0000-0000CA200000}"/>
    <cellStyle name="Normal 16 2 5 5" xfId="7172" xr:uid="{00000000-0005-0000-0000-0000CB200000}"/>
    <cellStyle name="Normal 16 2 6" xfId="1602" xr:uid="{00000000-0005-0000-0000-0000CC200000}"/>
    <cellStyle name="Normal 16 2 6 2" xfId="4957" xr:uid="{00000000-0005-0000-0000-0000CD200000}"/>
    <cellStyle name="Normal 16 2 6 2 2" xfId="10271" xr:uid="{00000000-0005-0000-0000-0000CE200000}"/>
    <cellStyle name="Normal 16 2 6 3" xfId="7613" xr:uid="{00000000-0005-0000-0000-0000CF200000}"/>
    <cellStyle name="Normal 16 2 7" xfId="2524" xr:uid="{00000000-0005-0000-0000-0000D0200000}"/>
    <cellStyle name="Normal 16 2 7 2" xfId="5834" xr:uid="{00000000-0005-0000-0000-0000D1200000}"/>
    <cellStyle name="Normal 16 2 7 2 2" xfId="11148" xr:uid="{00000000-0005-0000-0000-0000D2200000}"/>
    <cellStyle name="Normal 16 2 7 3" xfId="8490" xr:uid="{00000000-0005-0000-0000-0000D3200000}"/>
    <cellStyle name="Normal 16 2 8" xfId="3639" xr:uid="{00000000-0005-0000-0000-0000D4200000}"/>
    <cellStyle name="Normal 16 2 8 2" xfId="9394" xr:uid="{00000000-0005-0000-0000-0000D5200000}"/>
    <cellStyle name="Normal 16 2 9" xfId="6731" xr:uid="{00000000-0005-0000-0000-0000D6200000}"/>
    <cellStyle name="Normal 16 3" xfId="196" xr:uid="{00000000-0005-0000-0000-0000D7200000}"/>
    <cellStyle name="Normal 16 3 2" xfId="396" xr:uid="{00000000-0005-0000-0000-0000D8200000}"/>
    <cellStyle name="Normal 16 3 2 2" xfId="719" xr:uid="{00000000-0005-0000-0000-0000D9200000}"/>
    <cellStyle name="Normal 16 3 2 2 2" xfId="1406" xr:uid="{00000000-0005-0000-0000-0000DA200000}"/>
    <cellStyle name="Normal 16 3 2 2 2 2" xfId="2338" xr:uid="{00000000-0005-0000-0000-0000DB200000}"/>
    <cellStyle name="Normal 16 3 2 2 2 2 2" xfId="5685" xr:uid="{00000000-0005-0000-0000-0000DC200000}"/>
    <cellStyle name="Normal 16 3 2 2 2 2 2 2" xfId="10999" xr:uid="{00000000-0005-0000-0000-0000DD200000}"/>
    <cellStyle name="Normal 16 3 2 2 2 2 3" xfId="8341" xr:uid="{00000000-0005-0000-0000-0000DE200000}"/>
    <cellStyle name="Normal 16 3 2 2 2 3" xfId="3259" xr:uid="{00000000-0005-0000-0000-0000DF200000}"/>
    <cellStyle name="Normal 16 3 2 2 2 3 2" xfId="6562" xr:uid="{00000000-0005-0000-0000-0000E0200000}"/>
    <cellStyle name="Normal 16 3 2 2 2 3 2 2" xfId="11876" xr:uid="{00000000-0005-0000-0000-0000E1200000}"/>
    <cellStyle name="Normal 16 3 2 2 2 3 3" xfId="9218" xr:uid="{00000000-0005-0000-0000-0000E2200000}"/>
    <cellStyle name="Normal 16 3 2 2 2 4" xfId="4798" xr:uid="{00000000-0005-0000-0000-0000E3200000}"/>
    <cellStyle name="Normal 16 3 2 2 2 4 2" xfId="10122" xr:uid="{00000000-0005-0000-0000-0000E4200000}"/>
    <cellStyle name="Normal 16 3 2 2 2 5" xfId="7464" xr:uid="{00000000-0005-0000-0000-0000E5200000}"/>
    <cellStyle name="Normal 16 3 2 2 3" xfId="1900" xr:uid="{00000000-0005-0000-0000-0000E6200000}"/>
    <cellStyle name="Normal 16 3 2 2 3 2" xfId="5249" xr:uid="{00000000-0005-0000-0000-0000E7200000}"/>
    <cellStyle name="Normal 16 3 2 2 3 2 2" xfId="10563" xr:uid="{00000000-0005-0000-0000-0000E8200000}"/>
    <cellStyle name="Normal 16 3 2 2 3 3" xfId="7905" xr:uid="{00000000-0005-0000-0000-0000E9200000}"/>
    <cellStyle name="Normal 16 3 2 2 4" xfId="2821" xr:uid="{00000000-0005-0000-0000-0000EA200000}"/>
    <cellStyle name="Normal 16 3 2 2 4 2" xfId="6126" xr:uid="{00000000-0005-0000-0000-0000EB200000}"/>
    <cellStyle name="Normal 16 3 2 2 4 2 2" xfId="11440" xr:uid="{00000000-0005-0000-0000-0000EC200000}"/>
    <cellStyle name="Normal 16 3 2 2 4 3" xfId="8782" xr:uid="{00000000-0005-0000-0000-0000ED200000}"/>
    <cellStyle name="Normal 16 3 2 2 5" xfId="4113" xr:uid="{00000000-0005-0000-0000-0000EE200000}"/>
    <cellStyle name="Normal 16 3 2 2 5 2" xfId="9686" xr:uid="{00000000-0005-0000-0000-0000EF200000}"/>
    <cellStyle name="Normal 16 3 2 2 6" xfId="7028" xr:uid="{00000000-0005-0000-0000-0000F0200000}"/>
    <cellStyle name="Normal 16 3 2 3" xfId="1084" xr:uid="{00000000-0005-0000-0000-0000F1200000}"/>
    <cellStyle name="Normal 16 3 2 3 2" xfId="2138" xr:uid="{00000000-0005-0000-0000-0000F2200000}"/>
    <cellStyle name="Normal 16 3 2 3 2 2" xfId="5485" xr:uid="{00000000-0005-0000-0000-0000F3200000}"/>
    <cellStyle name="Normal 16 3 2 3 2 2 2" xfId="10799" xr:uid="{00000000-0005-0000-0000-0000F4200000}"/>
    <cellStyle name="Normal 16 3 2 3 2 3" xfId="8141" xr:uid="{00000000-0005-0000-0000-0000F5200000}"/>
    <cellStyle name="Normal 16 3 2 3 3" xfId="3059" xr:uid="{00000000-0005-0000-0000-0000F6200000}"/>
    <cellStyle name="Normal 16 3 2 3 3 2" xfId="6362" xr:uid="{00000000-0005-0000-0000-0000F7200000}"/>
    <cellStyle name="Normal 16 3 2 3 3 2 2" xfId="11676" xr:uid="{00000000-0005-0000-0000-0000F8200000}"/>
    <cellStyle name="Normal 16 3 2 3 3 3" xfId="9018" xr:uid="{00000000-0005-0000-0000-0000F9200000}"/>
    <cellStyle name="Normal 16 3 2 3 4" xfId="4476" xr:uid="{00000000-0005-0000-0000-0000FA200000}"/>
    <cellStyle name="Normal 16 3 2 3 4 2" xfId="9922" xr:uid="{00000000-0005-0000-0000-0000FB200000}"/>
    <cellStyle name="Normal 16 3 2 3 5" xfId="7264" xr:uid="{00000000-0005-0000-0000-0000FC200000}"/>
    <cellStyle name="Normal 16 3 2 4" xfId="1700" xr:uid="{00000000-0005-0000-0000-0000FD200000}"/>
    <cellStyle name="Normal 16 3 2 4 2" xfId="5049" xr:uid="{00000000-0005-0000-0000-0000FE200000}"/>
    <cellStyle name="Normal 16 3 2 4 2 2" xfId="10363" xr:uid="{00000000-0005-0000-0000-0000FF200000}"/>
    <cellStyle name="Normal 16 3 2 4 3" xfId="7705" xr:uid="{00000000-0005-0000-0000-000000210000}"/>
    <cellStyle name="Normal 16 3 2 5" xfId="2621" xr:uid="{00000000-0005-0000-0000-000001210000}"/>
    <cellStyle name="Normal 16 3 2 5 2" xfId="5926" xr:uid="{00000000-0005-0000-0000-000002210000}"/>
    <cellStyle name="Normal 16 3 2 5 2 2" xfId="11240" xr:uid="{00000000-0005-0000-0000-000003210000}"/>
    <cellStyle name="Normal 16 3 2 5 3" xfId="8582" xr:uid="{00000000-0005-0000-0000-000004210000}"/>
    <cellStyle name="Normal 16 3 2 6" xfId="3791" xr:uid="{00000000-0005-0000-0000-000005210000}"/>
    <cellStyle name="Normal 16 3 2 6 2" xfId="9486" xr:uid="{00000000-0005-0000-0000-000006210000}"/>
    <cellStyle name="Normal 16 3 2 7" xfId="6828" xr:uid="{00000000-0005-0000-0000-000007210000}"/>
    <cellStyle name="Normal 16 3 3" xfId="570" xr:uid="{00000000-0005-0000-0000-000008210000}"/>
    <cellStyle name="Normal 16 3 3 2" xfId="1257" xr:uid="{00000000-0005-0000-0000-000009210000}"/>
    <cellStyle name="Normal 16 3 3 2 2" xfId="2249" xr:uid="{00000000-0005-0000-0000-00000A210000}"/>
    <cellStyle name="Normal 16 3 3 2 2 2" xfId="5596" xr:uid="{00000000-0005-0000-0000-00000B210000}"/>
    <cellStyle name="Normal 16 3 3 2 2 2 2" xfId="10910" xr:uid="{00000000-0005-0000-0000-00000C210000}"/>
    <cellStyle name="Normal 16 3 3 2 2 3" xfId="8252" xr:uid="{00000000-0005-0000-0000-00000D210000}"/>
    <cellStyle name="Normal 16 3 3 2 3" xfId="3170" xr:uid="{00000000-0005-0000-0000-00000E210000}"/>
    <cellStyle name="Normal 16 3 3 2 3 2" xfId="6473" xr:uid="{00000000-0005-0000-0000-00000F210000}"/>
    <cellStyle name="Normal 16 3 3 2 3 2 2" xfId="11787" xr:uid="{00000000-0005-0000-0000-000010210000}"/>
    <cellStyle name="Normal 16 3 3 2 3 3" xfId="9129" xr:uid="{00000000-0005-0000-0000-000011210000}"/>
    <cellStyle name="Normal 16 3 3 2 4" xfId="4649" xr:uid="{00000000-0005-0000-0000-000012210000}"/>
    <cellStyle name="Normal 16 3 3 2 4 2" xfId="10033" xr:uid="{00000000-0005-0000-0000-000013210000}"/>
    <cellStyle name="Normal 16 3 3 2 5" xfId="7375" xr:uid="{00000000-0005-0000-0000-000014210000}"/>
    <cellStyle name="Normal 16 3 3 3" xfId="1811" xr:uid="{00000000-0005-0000-0000-000015210000}"/>
    <cellStyle name="Normal 16 3 3 3 2" xfId="5160" xr:uid="{00000000-0005-0000-0000-000016210000}"/>
    <cellStyle name="Normal 16 3 3 3 2 2" xfId="10474" xr:uid="{00000000-0005-0000-0000-000017210000}"/>
    <cellStyle name="Normal 16 3 3 3 3" xfId="7816" xr:uid="{00000000-0005-0000-0000-000018210000}"/>
    <cellStyle name="Normal 16 3 3 4" xfId="2732" xr:uid="{00000000-0005-0000-0000-000019210000}"/>
    <cellStyle name="Normal 16 3 3 4 2" xfId="6037" xr:uid="{00000000-0005-0000-0000-00001A210000}"/>
    <cellStyle name="Normal 16 3 3 4 2 2" xfId="11351" xr:uid="{00000000-0005-0000-0000-00001B210000}"/>
    <cellStyle name="Normal 16 3 3 4 3" xfId="8693" xr:uid="{00000000-0005-0000-0000-00001C210000}"/>
    <cellStyle name="Normal 16 3 3 5" xfId="3964" xr:uid="{00000000-0005-0000-0000-00001D210000}"/>
    <cellStyle name="Normal 16 3 3 5 2" xfId="9597" xr:uid="{00000000-0005-0000-0000-00001E210000}"/>
    <cellStyle name="Normal 16 3 3 6" xfId="6939" xr:uid="{00000000-0005-0000-0000-00001F210000}"/>
    <cellStyle name="Normal 16 3 4" xfId="935" xr:uid="{00000000-0005-0000-0000-000020210000}"/>
    <cellStyle name="Normal 16 3 4 2" xfId="2049" xr:uid="{00000000-0005-0000-0000-000021210000}"/>
    <cellStyle name="Normal 16 3 4 2 2" xfId="5396" xr:uid="{00000000-0005-0000-0000-000022210000}"/>
    <cellStyle name="Normal 16 3 4 2 2 2" xfId="10710" xr:uid="{00000000-0005-0000-0000-000023210000}"/>
    <cellStyle name="Normal 16 3 4 2 3" xfId="8052" xr:uid="{00000000-0005-0000-0000-000024210000}"/>
    <cellStyle name="Normal 16 3 4 3" xfId="2970" xr:uid="{00000000-0005-0000-0000-000025210000}"/>
    <cellStyle name="Normal 16 3 4 3 2" xfId="6273" xr:uid="{00000000-0005-0000-0000-000026210000}"/>
    <cellStyle name="Normal 16 3 4 3 2 2" xfId="11587" xr:uid="{00000000-0005-0000-0000-000027210000}"/>
    <cellStyle name="Normal 16 3 4 3 3" xfId="8929" xr:uid="{00000000-0005-0000-0000-000028210000}"/>
    <cellStyle name="Normal 16 3 4 4" xfId="4327" xr:uid="{00000000-0005-0000-0000-000029210000}"/>
    <cellStyle name="Normal 16 3 4 4 2" xfId="9833" xr:uid="{00000000-0005-0000-0000-00002A210000}"/>
    <cellStyle name="Normal 16 3 4 5" xfId="7175" xr:uid="{00000000-0005-0000-0000-00002B210000}"/>
    <cellStyle name="Normal 16 3 5" xfId="1606" xr:uid="{00000000-0005-0000-0000-00002C210000}"/>
    <cellStyle name="Normal 16 3 5 2" xfId="4960" xr:uid="{00000000-0005-0000-0000-00002D210000}"/>
    <cellStyle name="Normal 16 3 5 2 2" xfId="10274" xr:uid="{00000000-0005-0000-0000-00002E210000}"/>
    <cellStyle name="Normal 16 3 5 3" xfId="7616" xr:uid="{00000000-0005-0000-0000-00002F210000}"/>
    <cellStyle name="Normal 16 3 6" xfId="2527" xr:uid="{00000000-0005-0000-0000-000030210000}"/>
    <cellStyle name="Normal 16 3 6 2" xfId="5837" xr:uid="{00000000-0005-0000-0000-000031210000}"/>
    <cellStyle name="Normal 16 3 6 2 2" xfId="11151" xr:uid="{00000000-0005-0000-0000-000032210000}"/>
    <cellStyle name="Normal 16 3 6 3" xfId="8493" xr:uid="{00000000-0005-0000-0000-000033210000}"/>
    <cellStyle name="Normal 16 3 7" xfId="3642" xr:uid="{00000000-0005-0000-0000-000034210000}"/>
    <cellStyle name="Normal 16 3 7 2" xfId="9397" xr:uid="{00000000-0005-0000-0000-000035210000}"/>
    <cellStyle name="Normal 16 3 8" xfId="6734" xr:uid="{00000000-0005-0000-0000-000036210000}"/>
    <cellStyle name="Normal 16 4" xfId="221" xr:uid="{00000000-0005-0000-0000-000037210000}"/>
    <cellStyle name="Normal 16 4 2" xfId="416" xr:uid="{00000000-0005-0000-0000-000038210000}"/>
    <cellStyle name="Normal 16 4 2 2" xfId="739" xr:uid="{00000000-0005-0000-0000-000039210000}"/>
    <cellStyle name="Normal 16 4 2 2 2" xfId="1426" xr:uid="{00000000-0005-0000-0000-00003A210000}"/>
    <cellStyle name="Normal 16 4 2 2 2 2" xfId="2358" xr:uid="{00000000-0005-0000-0000-00003B210000}"/>
    <cellStyle name="Normal 16 4 2 2 2 2 2" xfId="5705" xr:uid="{00000000-0005-0000-0000-00003C210000}"/>
    <cellStyle name="Normal 16 4 2 2 2 2 2 2" xfId="11019" xr:uid="{00000000-0005-0000-0000-00003D210000}"/>
    <cellStyle name="Normal 16 4 2 2 2 2 3" xfId="8361" xr:uid="{00000000-0005-0000-0000-00003E210000}"/>
    <cellStyle name="Normal 16 4 2 2 2 3" xfId="3279" xr:uid="{00000000-0005-0000-0000-00003F210000}"/>
    <cellStyle name="Normal 16 4 2 2 2 3 2" xfId="6582" xr:uid="{00000000-0005-0000-0000-000040210000}"/>
    <cellStyle name="Normal 16 4 2 2 2 3 2 2" xfId="11896" xr:uid="{00000000-0005-0000-0000-000041210000}"/>
    <cellStyle name="Normal 16 4 2 2 2 3 3" xfId="9238" xr:uid="{00000000-0005-0000-0000-000042210000}"/>
    <cellStyle name="Normal 16 4 2 2 2 4" xfId="4818" xr:uid="{00000000-0005-0000-0000-000043210000}"/>
    <cellStyle name="Normal 16 4 2 2 2 4 2" xfId="10142" xr:uid="{00000000-0005-0000-0000-000044210000}"/>
    <cellStyle name="Normal 16 4 2 2 2 5" xfId="7484" xr:uid="{00000000-0005-0000-0000-000045210000}"/>
    <cellStyle name="Normal 16 4 2 2 3" xfId="1920" xr:uid="{00000000-0005-0000-0000-000046210000}"/>
    <cellStyle name="Normal 16 4 2 2 3 2" xfId="5269" xr:uid="{00000000-0005-0000-0000-000047210000}"/>
    <cellStyle name="Normal 16 4 2 2 3 2 2" xfId="10583" xr:uid="{00000000-0005-0000-0000-000048210000}"/>
    <cellStyle name="Normal 16 4 2 2 3 3" xfId="7925" xr:uid="{00000000-0005-0000-0000-000049210000}"/>
    <cellStyle name="Normal 16 4 2 2 4" xfId="2841" xr:uid="{00000000-0005-0000-0000-00004A210000}"/>
    <cellStyle name="Normal 16 4 2 2 4 2" xfId="6146" xr:uid="{00000000-0005-0000-0000-00004B210000}"/>
    <cellStyle name="Normal 16 4 2 2 4 2 2" xfId="11460" xr:uid="{00000000-0005-0000-0000-00004C210000}"/>
    <cellStyle name="Normal 16 4 2 2 4 3" xfId="8802" xr:uid="{00000000-0005-0000-0000-00004D210000}"/>
    <cellStyle name="Normal 16 4 2 2 5" xfId="4133" xr:uid="{00000000-0005-0000-0000-00004E210000}"/>
    <cellStyle name="Normal 16 4 2 2 5 2" xfId="9706" xr:uid="{00000000-0005-0000-0000-00004F210000}"/>
    <cellStyle name="Normal 16 4 2 2 6" xfId="7048" xr:uid="{00000000-0005-0000-0000-000050210000}"/>
    <cellStyle name="Normal 16 4 2 3" xfId="1104" xr:uid="{00000000-0005-0000-0000-000051210000}"/>
    <cellStyle name="Normal 16 4 2 3 2" xfId="2158" xr:uid="{00000000-0005-0000-0000-000052210000}"/>
    <cellStyle name="Normal 16 4 2 3 2 2" xfId="5505" xr:uid="{00000000-0005-0000-0000-000053210000}"/>
    <cellStyle name="Normal 16 4 2 3 2 2 2" xfId="10819" xr:uid="{00000000-0005-0000-0000-000054210000}"/>
    <cellStyle name="Normal 16 4 2 3 2 3" xfId="8161" xr:uid="{00000000-0005-0000-0000-000055210000}"/>
    <cellStyle name="Normal 16 4 2 3 3" xfId="3079" xr:uid="{00000000-0005-0000-0000-000056210000}"/>
    <cellStyle name="Normal 16 4 2 3 3 2" xfId="6382" xr:uid="{00000000-0005-0000-0000-000057210000}"/>
    <cellStyle name="Normal 16 4 2 3 3 2 2" xfId="11696" xr:uid="{00000000-0005-0000-0000-000058210000}"/>
    <cellStyle name="Normal 16 4 2 3 3 3" xfId="9038" xr:uid="{00000000-0005-0000-0000-000059210000}"/>
    <cellStyle name="Normal 16 4 2 3 4" xfId="4496" xr:uid="{00000000-0005-0000-0000-00005A210000}"/>
    <cellStyle name="Normal 16 4 2 3 4 2" xfId="9942" xr:uid="{00000000-0005-0000-0000-00005B210000}"/>
    <cellStyle name="Normal 16 4 2 3 5" xfId="7284" xr:uid="{00000000-0005-0000-0000-00005C210000}"/>
    <cellStyle name="Normal 16 4 2 4" xfId="1720" xr:uid="{00000000-0005-0000-0000-00005D210000}"/>
    <cellStyle name="Normal 16 4 2 4 2" xfId="5069" xr:uid="{00000000-0005-0000-0000-00005E210000}"/>
    <cellStyle name="Normal 16 4 2 4 2 2" xfId="10383" xr:uid="{00000000-0005-0000-0000-00005F210000}"/>
    <cellStyle name="Normal 16 4 2 4 3" xfId="7725" xr:uid="{00000000-0005-0000-0000-000060210000}"/>
    <cellStyle name="Normal 16 4 2 5" xfId="2641" xr:uid="{00000000-0005-0000-0000-000061210000}"/>
    <cellStyle name="Normal 16 4 2 5 2" xfId="5946" xr:uid="{00000000-0005-0000-0000-000062210000}"/>
    <cellStyle name="Normal 16 4 2 5 2 2" xfId="11260" xr:uid="{00000000-0005-0000-0000-000063210000}"/>
    <cellStyle name="Normal 16 4 2 5 3" xfId="8602" xr:uid="{00000000-0005-0000-0000-000064210000}"/>
    <cellStyle name="Normal 16 4 2 6" xfId="3811" xr:uid="{00000000-0005-0000-0000-000065210000}"/>
    <cellStyle name="Normal 16 4 2 6 2" xfId="9506" xr:uid="{00000000-0005-0000-0000-000066210000}"/>
    <cellStyle name="Normal 16 4 2 7" xfId="6848" xr:uid="{00000000-0005-0000-0000-000067210000}"/>
    <cellStyle name="Normal 16 4 3" xfId="590" xr:uid="{00000000-0005-0000-0000-000068210000}"/>
    <cellStyle name="Normal 16 4 3 2" xfId="1277" xr:uid="{00000000-0005-0000-0000-000069210000}"/>
    <cellStyle name="Normal 16 4 3 2 2" xfId="2269" xr:uid="{00000000-0005-0000-0000-00006A210000}"/>
    <cellStyle name="Normal 16 4 3 2 2 2" xfId="5616" xr:uid="{00000000-0005-0000-0000-00006B210000}"/>
    <cellStyle name="Normal 16 4 3 2 2 2 2" xfId="10930" xr:uid="{00000000-0005-0000-0000-00006C210000}"/>
    <cellStyle name="Normal 16 4 3 2 2 3" xfId="8272" xr:uid="{00000000-0005-0000-0000-00006D210000}"/>
    <cellStyle name="Normal 16 4 3 2 3" xfId="3190" xr:uid="{00000000-0005-0000-0000-00006E210000}"/>
    <cellStyle name="Normal 16 4 3 2 3 2" xfId="6493" xr:uid="{00000000-0005-0000-0000-00006F210000}"/>
    <cellStyle name="Normal 16 4 3 2 3 2 2" xfId="11807" xr:uid="{00000000-0005-0000-0000-000070210000}"/>
    <cellStyle name="Normal 16 4 3 2 3 3" xfId="9149" xr:uid="{00000000-0005-0000-0000-000071210000}"/>
    <cellStyle name="Normal 16 4 3 2 4" xfId="4669" xr:uid="{00000000-0005-0000-0000-000072210000}"/>
    <cellStyle name="Normal 16 4 3 2 4 2" xfId="10053" xr:uid="{00000000-0005-0000-0000-000073210000}"/>
    <cellStyle name="Normal 16 4 3 2 5" xfId="7395" xr:uid="{00000000-0005-0000-0000-000074210000}"/>
    <cellStyle name="Normal 16 4 3 3" xfId="1831" xr:uid="{00000000-0005-0000-0000-000075210000}"/>
    <cellStyle name="Normal 16 4 3 3 2" xfId="5180" xr:uid="{00000000-0005-0000-0000-000076210000}"/>
    <cellStyle name="Normal 16 4 3 3 2 2" xfId="10494" xr:uid="{00000000-0005-0000-0000-000077210000}"/>
    <cellStyle name="Normal 16 4 3 3 3" xfId="7836" xr:uid="{00000000-0005-0000-0000-000078210000}"/>
    <cellStyle name="Normal 16 4 3 4" xfId="2752" xr:uid="{00000000-0005-0000-0000-000079210000}"/>
    <cellStyle name="Normal 16 4 3 4 2" xfId="6057" xr:uid="{00000000-0005-0000-0000-00007A210000}"/>
    <cellStyle name="Normal 16 4 3 4 2 2" xfId="11371" xr:uid="{00000000-0005-0000-0000-00007B210000}"/>
    <cellStyle name="Normal 16 4 3 4 3" xfId="8713" xr:uid="{00000000-0005-0000-0000-00007C210000}"/>
    <cellStyle name="Normal 16 4 3 5" xfId="3984" xr:uid="{00000000-0005-0000-0000-00007D210000}"/>
    <cellStyle name="Normal 16 4 3 5 2" xfId="9617" xr:uid="{00000000-0005-0000-0000-00007E210000}"/>
    <cellStyle name="Normal 16 4 3 6" xfId="6959" xr:uid="{00000000-0005-0000-0000-00007F210000}"/>
    <cellStyle name="Normal 16 4 4" xfId="955" xr:uid="{00000000-0005-0000-0000-000080210000}"/>
    <cellStyle name="Normal 16 4 4 2" xfId="2069" xr:uid="{00000000-0005-0000-0000-000081210000}"/>
    <cellStyle name="Normal 16 4 4 2 2" xfId="5416" xr:uid="{00000000-0005-0000-0000-000082210000}"/>
    <cellStyle name="Normal 16 4 4 2 2 2" xfId="10730" xr:uid="{00000000-0005-0000-0000-000083210000}"/>
    <cellStyle name="Normal 16 4 4 2 3" xfId="8072" xr:uid="{00000000-0005-0000-0000-000084210000}"/>
    <cellStyle name="Normal 16 4 4 3" xfId="2990" xr:uid="{00000000-0005-0000-0000-000085210000}"/>
    <cellStyle name="Normal 16 4 4 3 2" xfId="6293" xr:uid="{00000000-0005-0000-0000-000086210000}"/>
    <cellStyle name="Normal 16 4 4 3 2 2" xfId="11607" xr:uid="{00000000-0005-0000-0000-000087210000}"/>
    <cellStyle name="Normal 16 4 4 3 3" xfId="8949" xr:uid="{00000000-0005-0000-0000-000088210000}"/>
    <cellStyle name="Normal 16 4 4 4" xfId="4347" xr:uid="{00000000-0005-0000-0000-000089210000}"/>
    <cellStyle name="Normal 16 4 4 4 2" xfId="9853" xr:uid="{00000000-0005-0000-0000-00008A210000}"/>
    <cellStyle name="Normal 16 4 4 5" xfId="7195" xr:uid="{00000000-0005-0000-0000-00008B210000}"/>
    <cellStyle name="Normal 16 4 5" xfId="1630" xr:uid="{00000000-0005-0000-0000-00008C210000}"/>
    <cellStyle name="Normal 16 4 5 2" xfId="4980" xr:uid="{00000000-0005-0000-0000-00008D210000}"/>
    <cellStyle name="Normal 16 4 5 2 2" xfId="10294" xr:uid="{00000000-0005-0000-0000-00008E210000}"/>
    <cellStyle name="Normal 16 4 5 3" xfId="7636" xr:uid="{00000000-0005-0000-0000-00008F210000}"/>
    <cellStyle name="Normal 16 4 6" xfId="2551" xr:uid="{00000000-0005-0000-0000-000090210000}"/>
    <cellStyle name="Normal 16 4 6 2" xfId="5857" xr:uid="{00000000-0005-0000-0000-000091210000}"/>
    <cellStyle name="Normal 16 4 6 2 2" xfId="11171" xr:uid="{00000000-0005-0000-0000-000092210000}"/>
    <cellStyle name="Normal 16 4 6 3" xfId="8513" xr:uid="{00000000-0005-0000-0000-000093210000}"/>
    <cellStyle name="Normal 16 4 7" xfId="3662" xr:uid="{00000000-0005-0000-0000-000094210000}"/>
    <cellStyle name="Normal 16 4 7 2" xfId="9417" xr:uid="{00000000-0005-0000-0000-000095210000}"/>
    <cellStyle name="Normal 16 4 8" xfId="6754" xr:uid="{00000000-0005-0000-0000-000096210000}"/>
    <cellStyle name="Normal 16 5" xfId="300" xr:uid="{00000000-0005-0000-0000-000097210000}"/>
    <cellStyle name="Normal 16 5 2" xfId="623" xr:uid="{00000000-0005-0000-0000-000098210000}"/>
    <cellStyle name="Normal 16 5 2 2" xfId="1310" xr:uid="{00000000-0005-0000-0000-000099210000}"/>
    <cellStyle name="Normal 16 5 2 2 2" xfId="2300" xr:uid="{00000000-0005-0000-0000-00009A210000}"/>
    <cellStyle name="Normal 16 5 2 2 2 2" xfId="5647" xr:uid="{00000000-0005-0000-0000-00009B210000}"/>
    <cellStyle name="Normal 16 5 2 2 2 2 2" xfId="10961" xr:uid="{00000000-0005-0000-0000-00009C210000}"/>
    <cellStyle name="Normal 16 5 2 2 2 3" xfId="8303" xr:uid="{00000000-0005-0000-0000-00009D210000}"/>
    <cellStyle name="Normal 16 5 2 2 3" xfId="3221" xr:uid="{00000000-0005-0000-0000-00009E210000}"/>
    <cellStyle name="Normal 16 5 2 2 3 2" xfId="6524" xr:uid="{00000000-0005-0000-0000-00009F210000}"/>
    <cellStyle name="Normal 16 5 2 2 3 2 2" xfId="11838" xr:uid="{00000000-0005-0000-0000-0000A0210000}"/>
    <cellStyle name="Normal 16 5 2 2 3 3" xfId="9180" xr:uid="{00000000-0005-0000-0000-0000A1210000}"/>
    <cellStyle name="Normal 16 5 2 2 4" xfId="4702" xr:uid="{00000000-0005-0000-0000-0000A2210000}"/>
    <cellStyle name="Normal 16 5 2 2 4 2" xfId="10084" xr:uid="{00000000-0005-0000-0000-0000A3210000}"/>
    <cellStyle name="Normal 16 5 2 2 5" xfId="7426" xr:uid="{00000000-0005-0000-0000-0000A4210000}"/>
    <cellStyle name="Normal 16 5 2 3" xfId="1862" xr:uid="{00000000-0005-0000-0000-0000A5210000}"/>
    <cellStyle name="Normal 16 5 2 3 2" xfId="5211" xr:uid="{00000000-0005-0000-0000-0000A6210000}"/>
    <cellStyle name="Normal 16 5 2 3 2 2" xfId="10525" xr:uid="{00000000-0005-0000-0000-0000A7210000}"/>
    <cellStyle name="Normal 16 5 2 3 3" xfId="7867" xr:uid="{00000000-0005-0000-0000-0000A8210000}"/>
    <cellStyle name="Normal 16 5 2 4" xfId="2783" xr:uid="{00000000-0005-0000-0000-0000A9210000}"/>
    <cellStyle name="Normal 16 5 2 4 2" xfId="6088" xr:uid="{00000000-0005-0000-0000-0000AA210000}"/>
    <cellStyle name="Normal 16 5 2 4 2 2" xfId="11402" xr:uid="{00000000-0005-0000-0000-0000AB210000}"/>
    <cellStyle name="Normal 16 5 2 4 3" xfId="8744" xr:uid="{00000000-0005-0000-0000-0000AC210000}"/>
    <cellStyle name="Normal 16 5 2 5" xfId="4017" xr:uid="{00000000-0005-0000-0000-0000AD210000}"/>
    <cellStyle name="Normal 16 5 2 5 2" xfId="9648" xr:uid="{00000000-0005-0000-0000-0000AE210000}"/>
    <cellStyle name="Normal 16 5 2 6" xfId="6990" xr:uid="{00000000-0005-0000-0000-0000AF210000}"/>
    <cellStyle name="Normal 16 5 3" xfId="988" xr:uid="{00000000-0005-0000-0000-0000B0210000}"/>
    <cellStyle name="Normal 16 5 3 2" xfId="2100" xr:uid="{00000000-0005-0000-0000-0000B1210000}"/>
    <cellStyle name="Normal 16 5 3 2 2" xfId="5447" xr:uid="{00000000-0005-0000-0000-0000B2210000}"/>
    <cellStyle name="Normal 16 5 3 2 2 2" xfId="10761" xr:uid="{00000000-0005-0000-0000-0000B3210000}"/>
    <cellStyle name="Normal 16 5 3 2 3" xfId="8103" xr:uid="{00000000-0005-0000-0000-0000B4210000}"/>
    <cellStyle name="Normal 16 5 3 3" xfId="3021" xr:uid="{00000000-0005-0000-0000-0000B5210000}"/>
    <cellStyle name="Normal 16 5 3 3 2" xfId="6324" xr:uid="{00000000-0005-0000-0000-0000B6210000}"/>
    <cellStyle name="Normal 16 5 3 3 2 2" xfId="11638" xr:uid="{00000000-0005-0000-0000-0000B7210000}"/>
    <cellStyle name="Normal 16 5 3 3 3" xfId="8980" xr:uid="{00000000-0005-0000-0000-0000B8210000}"/>
    <cellStyle name="Normal 16 5 3 4" xfId="4380" xr:uid="{00000000-0005-0000-0000-0000B9210000}"/>
    <cellStyle name="Normal 16 5 3 4 2" xfId="9884" xr:uid="{00000000-0005-0000-0000-0000BA210000}"/>
    <cellStyle name="Normal 16 5 3 5" xfId="7226" xr:uid="{00000000-0005-0000-0000-0000BB210000}"/>
    <cellStyle name="Normal 16 5 4" xfId="1662" xr:uid="{00000000-0005-0000-0000-0000BC210000}"/>
    <cellStyle name="Normal 16 5 4 2" xfId="5011" xr:uid="{00000000-0005-0000-0000-0000BD210000}"/>
    <cellStyle name="Normal 16 5 4 2 2" xfId="10325" xr:uid="{00000000-0005-0000-0000-0000BE210000}"/>
    <cellStyle name="Normal 16 5 4 3" xfId="7667" xr:uid="{00000000-0005-0000-0000-0000BF210000}"/>
    <cellStyle name="Normal 16 5 5" xfId="2583" xr:uid="{00000000-0005-0000-0000-0000C0210000}"/>
    <cellStyle name="Normal 16 5 5 2" xfId="5888" xr:uid="{00000000-0005-0000-0000-0000C1210000}"/>
    <cellStyle name="Normal 16 5 5 2 2" xfId="11202" xr:uid="{00000000-0005-0000-0000-0000C2210000}"/>
    <cellStyle name="Normal 16 5 5 3" xfId="8544" xr:uid="{00000000-0005-0000-0000-0000C3210000}"/>
    <cellStyle name="Normal 16 5 6" xfId="3695" xr:uid="{00000000-0005-0000-0000-0000C4210000}"/>
    <cellStyle name="Normal 16 5 6 2" xfId="9448" xr:uid="{00000000-0005-0000-0000-0000C5210000}"/>
    <cellStyle name="Normal 16 5 7" xfId="6790" xr:uid="{00000000-0005-0000-0000-0000C6210000}"/>
    <cellStyle name="Normal 16 6" xfId="314" xr:uid="{00000000-0005-0000-0000-0000C7210000}"/>
    <cellStyle name="Normal 16 6 2" xfId="637" xr:uid="{00000000-0005-0000-0000-0000C8210000}"/>
    <cellStyle name="Normal 16 6 2 2" xfId="1324" xr:uid="{00000000-0005-0000-0000-0000C9210000}"/>
    <cellStyle name="Normal 16 6 2 2 2" xfId="2314" xr:uid="{00000000-0005-0000-0000-0000CA210000}"/>
    <cellStyle name="Normal 16 6 2 2 2 2" xfId="5661" xr:uid="{00000000-0005-0000-0000-0000CB210000}"/>
    <cellStyle name="Normal 16 6 2 2 2 2 2" xfId="10975" xr:uid="{00000000-0005-0000-0000-0000CC210000}"/>
    <cellStyle name="Normal 16 6 2 2 2 3" xfId="8317" xr:uid="{00000000-0005-0000-0000-0000CD210000}"/>
    <cellStyle name="Normal 16 6 2 2 3" xfId="3235" xr:uid="{00000000-0005-0000-0000-0000CE210000}"/>
    <cellStyle name="Normal 16 6 2 2 3 2" xfId="6538" xr:uid="{00000000-0005-0000-0000-0000CF210000}"/>
    <cellStyle name="Normal 16 6 2 2 3 2 2" xfId="11852" xr:uid="{00000000-0005-0000-0000-0000D0210000}"/>
    <cellStyle name="Normal 16 6 2 2 3 3" xfId="9194" xr:uid="{00000000-0005-0000-0000-0000D1210000}"/>
    <cellStyle name="Normal 16 6 2 2 4" xfId="4716" xr:uid="{00000000-0005-0000-0000-0000D2210000}"/>
    <cellStyle name="Normal 16 6 2 2 4 2" xfId="10098" xr:uid="{00000000-0005-0000-0000-0000D3210000}"/>
    <cellStyle name="Normal 16 6 2 2 5" xfId="7440" xr:uid="{00000000-0005-0000-0000-0000D4210000}"/>
    <cellStyle name="Normal 16 6 2 3" xfId="1876" xr:uid="{00000000-0005-0000-0000-0000D5210000}"/>
    <cellStyle name="Normal 16 6 2 3 2" xfId="5225" xr:uid="{00000000-0005-0000-0000-0000D6210000}"/>
    <cellStyle name="Normal 16 6 2 3 2 2" xfId="10539" xr:uid="{00000000-0005-0000-0000-0000D7210000}"/>
    <cellStyle name="Normal 16 6 2 3 3" xfId="7881" xr:uid="{00000000-0005-0000-0000-0000D8210000}"/>
    <cellStyle name="Normal 16 6 2 4" xfId="2797" xr:uid="{00000000-0005-0000-0000-0000D9210000}"/>
    <cellStyle name="Normal 16 6 2 4 2" xfId="6102" xr:uid="{00000000-0005-0000-0000-0000DA210000}"/>
    <cellStyle name="Normal 16 6 2 4 2 2" xfId="11416" xr:uid="{00000000-0005-0000-0000-0000DB210000}"/>
    <cellStyle name="Normal 16 6 2 4 3" xfId="8758" xr:uid="{00000000-0005-0000-0000-0000DC210000}"/>
    <cellStyle name="Normal 16 6 2 5" xfId="4031" xr:uid="{00000000-0005-0000-0000-0000DD210000}"/>
    <cellStyle name="Normal 16 6 2 5 2" xfId="9662" xr:uid="{00000000-0005-0000-0000-0000DE210000}"/>
    <cellStyle name="Normal 16 6 2 6" xfId="7004" xr:uid="{00000000-0005-0000-0000-0000DF210000}"/>
    <cellStyle name="Normal 16 6 3" xfId="1002" xr:uid="{00000000-0005-0000-0000-0000E0210000}"/>
    <cellStyle name="Normal 16 6 3 2" xfId="2114" xr:uid="{00000000-0005-0000-0000-0000E1210000}"/>
    <cellStyle name="Normal 16 6 3 2 2" xfId="5461" xr:uid="{00000000-0005-0000-0000-0000E2210000}"/>
    <cellStyle name="Normal 16 6 3 2 2 2" xfId="10775" xr:uid="{00000000-0005-0000-0000-0000E3210000}"/>
    <cellStyle name="Normal 16 6 3 2 3" xfId="8117" xr:uid="{00000000-0005-0000-0000-0000E4210000}"/>
    <cellStyle name="Normal 16 6 3 3" xfId="3035" xr:uid="{00000000-0005-0000-0000-0000E5210000}"/>
    <cellStyle name="Normal 16 6 3 3 2" xfId="6338" xr:uid="{00000000-0005-0000-0000-0000E6210000}"/>
    <cellStyle name="Normal 16 6 3 3 2 2" xfId="11652" xr:uid="{00000000-0005-0000-0000-0000E7210000}"/>
    <cellStyle name="Normal 16 6 3 3 3" xfId="8994" xr:uid="{00000000-0005-0000-0000-0000E8210000}"/>
    <cellStyle name="Normal 16 6 3 4" xfId="4394" xr:uid="{00000000-0005-0000-0000-0000E9210000}"/>
    <cellStyle name="Normal 16 6 3 4 2" xfId="9898" xr:uid="{00000000-0005-0000-0000-0000EA210000}"/>
    <cellStyle name="Normal 16 6 3 5" xfId="7240" xr:uid="{00000000-0005-0000-0000-0000EB210000}"/>
    <cellStyle name="Normal 16 6 4" xfId="1676" xr:uid="{00000000-0005-0000-0000-0000EC210000}"/>
    <cellStyle name="Normal 16 6 4 2" xfId="5025" xr:uid="{00000000-0005-0000-0000-0000ED210000}"/>
    <cellStyle name="Normal 16 6 4 2 2" xfId="10339" xr:uid="{00000000-0005-0000-0000-0000EE210000}"/>
    <cellStyle name="Normal 16 6 4 3" xfId="7681" xr:uid="{00000000-0005-0000-0000-0000EF210000}"/>
    <cellStyle name="Normal 16 6 5" xfId="2597" xr:uid="{00000000-0005-0000-0000-0000F0210000}"/>
    <cellStyle name="Normal 16 6 5 2" xfId="5902" xr:uid="{00000000-0005-0000-0000-0000F1210000}"/>
    <cellStyle name="Normal 16 6 5 2 2" xfId="11216" xr:uid="{00000000-0005-0000-0000-0000F2210000}"/>
    <cellStyle name="Normal 16 6 5 3" xfId="8558" xr:uid="{00000000-0005-0000-0000-0000F3210000}"/>
    <cellStyle name="Normal 16 6 6" xfId="3709" xr:uid="{00000000-0005-0000-0000-0000F4210000}"/>
    <cellStyle name="Normal 16 6 6 2" xfId="9462" xr:uid="{00000000-0005-0000-0000-0000F5210000}"/>
    <cellStyle name="Normal 16 6 7" xfId="6804" xr:uid="{00000000-0005-0000-0000-0000F6210000}"/>
    <cellStyle name="Normal 16 7" xfId="467" xr:uid="{00000000-0005-0000-0000-0000F7210000}"/>
    <cellStyle name="Normal 16 7 2" xfId="471" xr:uid="{00000000-0005-0000-0000-0000F8210000}"/>
    <cellStyle name="Normal 16 7 2 2" xfId="841" xr:uid="{00000000-0005-0000-0000-0000F9210000}"/>
    <cellStyle name="Normal 16 7 2 2 2" xfId="1526" xr:uid="{00000000-0005-0000-0000-0000FA210000}"/>
    <cellStyle name="Normal 16 7 2 2 2 2" xfId="2448" xr:uid="{00000000-0005-0000-0000-0000FB210000}"/>
    <cellStyle name="Normal 16 7 2 2 2 2 2" xfId="5795" xr:uid="{00000000-0005-0000-0000-0000FC210000}"/>
    <cellStyle name="Normal 16 7 2 2 2 2 2 2" xfId="11109" xr:uid="{00000000-0005-0000-0000-0000FD210000}"/>
    <cellStyle name="Normal 16 7 2 2 2 2 3" xfId="8451" xr:uid="{00000000-0005-0000-0000-0000FE210000}"/>
    <cellStyle name="Normal 16 7 2 2 2 3" xfId="3369" xr:uid="{00000000-0005-0000-0000-0000FF210000}"/>
    <cellStyle name="Normal 16 7 2 2 2 3 2" xfId="6672" xr:uid="{00000000-0005-0000-0000-000000220000}"/>
    <cellStyle name="Normal 16 7 2 2 2 3 2 2" xfId="11986" xr:uid="{00000000-0005-0000-0000-000001220000}"/>
    <cellStyle name="Normal 16 7 2 2 2 3 3" xfId="9328" xr:uid="{00000000-0005-0000-0000-000002220000}"/>
    <cellStyle name="Normal 16 7 2 2 2 4" xfId="4918" xr:uid="{00000000-0005-0000-0000-000003220000}"/>
    <cellStyle name="Normal 16 7 2 2 2 4 2" xfId="10232" xr:uid="{00000000-0005-0000-0000-000004220000}"/>
    <cellStyle name="Normal 16 7 2 2 2 5" xfId="7574" xr:uid="{00000000-0005-0000-0000-000005220000}"/>
    <cellStyle name="Normal 16 7 2 2 3" xfId="2012" xr:uid="{00000000-0005-0000-0000-000006220000}"/>
    <cellStyle name="Normal 16 7 2 2 3 2" xfId="5359" xr:uid="{00000000-0005-0000-0000-000007220000}"/>
    <cellStyle name="Normal 16 7 2 2 3 2 2" xfId="10673" xr:uid="{00000000-0005-0000-0000-000008220000}"/>
    <cellStyle name="Normal 16 7 2 2 3 3" xfId="8015" xr:uid="{00000000-0005-0000-0000-000009220000}"/>
    <cellStyle name="Normal 16 7 2 2 4" xfId="2933" xr:uid="{00000000-0005-0000-0000-00000A220000}"/>
    <cellStyle name="Normal 16 7 2 2 4 2" xfId="6236" xr:uid="{00000000-0005-0000-0000-00000B220000}"/>
    <cellStyle name="Normal 16 7 2 2 4 2 2" xfId="11550" xr:uid="{00000000-0005-0000-0000-00000C220000}"/>
    <cellStyle name="Normal 16 7 2 2 4 3" xfId="8892" xr:uid="{00000000-0005-0000-0000-00000D220000}"/>
    <cellStyle name="Normal 16 7 2 2 5" xfId="4233" xr:uid="{00000000-0005-0000-0000-00000E220000}"/>
    <cellStyle name="Normal 16 7 2 2 5 2" xfId="9796" xr:uid="{00000000-0005-0000-0000-00000F220000}"/>
    <cellStyle name="Normal 16 7 2 2 6" xfId="7138" xr:uid="{00000000-0005-0000-0000-000010220000}"/>
    <cellStyle name="Normal 16 7 2 3" xfId="793" xr:uid="{00000000-0005-0000-0000-000011220000}"/>
    <cellStyle name="Normal 16 7 2 3 2" xfId="1480" xr:uid="{00000000-0005-0000-0000-000012220000}"/>
    <cellStyle name="Normal 16 7 2 3 2 2" xfId="2408" xr:uid="{00000000-0005-0000-0000-000013220000}"/>
    <cellStyle name="Normal 16 7 2 3 2 2 2" xfId="5755" xr:uid="{00000000-0005-0000-0000-000014220000}"/>
    <cellStyle name="Normal 16 7 2 3 2 2 2 2" xfId="11069" xr:uid="{00000000-0005-0000-0000-000015220000}"/>
    <cellStyle name="Normal 16 7 2 3 2 2 3" xfId="8411" xr:uid="{00000000-0005-0000-0000-000016220000}"/>
    <cellStyle name="Normal 16 7 2 3 2 3" xfId="3329" xr:uid="{00000000-0005-0000-0000-000017220000}"/>
    <cellStyle name="Normal 16 7 2 3 2 3 2" xfId="6632" xr:uid="{00000000-0005-0000-0000-000018220000}"/>
    <cellStyle name="Normal 16 7 2 3 2 3 2 2" xfId="11946" xr:uid="{00000000-0005-0000-0000-000019220000}"/>
    <cellStyle name="Normal 16 7 2 3 2 3 3" xfId="9288" xr:uid="{00000000-0005-0000-0000-00001A220000}"/>
    <cellStyle name="Normal 16 7 2 3 2 4" xfId="4872" xr:uid="{00000000-0005-0000-0000-00001B220000}"/>
    <cellStyle name="Normal 16 7 2 3 2 4 2" xfId="10192" xr:uid="{00000000-0005-0000-0000-00001C220000}"/>
    <cellStyle name="Normal 16 7 2 3 2 5" xfId="7534" xr:uid="{00000000-0005-0000-0000-00001D220000}"/>
    <cellStyle name="Normal 16 7 2 3 3" xfId="1970" xr:uid="{00000000-0005-0000-0000-00001E220000}"/>
    <cellStyle name="Normal 16 7 2 3 3 2" xfId="5319" xr:uid="{00000000-0005-0000-0000-00001F220000}"/>
    <cellStyle name="Normal 16 7 2 3 3 2 2" xfId="10633" xr:uid="{00000000-0005-0000-0000-000020220000}"/>
    <cellStyle name="Normal 16 7 2 3 3 3" xfId="7975" xr:uid="{00000000-0005-0000-0000-000021220000}"/>
    <cellStyle name="Normal 16 7 2 3 4" xfId="2891" xr:uid="{00000000-0005-0000-0000-000022220000}"/>
    <cellStyle name="Normal 16 7 2 3 4 2" xfId="6196" xr:uid="{00000000-0005-0000-0000-000023220000}"/>
    <cellStyle name="Normal 16 7 2 3 4 2 2" xfId="11510" xr:uid="{00000000-0005-0000-0000-000024220000}"/>
    <cellStyle name="Normal 16 7 2 3 4 3" xfId="8852" xr:uid="{00000000-0005-0000-0000-000025220000}"/>
    <cellStyle name="Normal 16 7 2 3 5" xfId="4187" xr:uid="{00000000-0005-0000-0000-000026220000}"/>
    <cellStyle name="Normal 16 7 2 3 5 2" xfId="9756" xr:uid="{00000000-0005-0000-0000-000027220000}"/>
    <cellStyle name="Normal 16 7 2 3 6" xfId="7098" xr:uid="{00000000-0005-0000-0000-000028220000}"/>
    <cellStyle name="Normal 16 7 2 4" xfId="1158" xr:uid="{00000000-0005-0000-0000-000029220000}"/>
    <cellStyle name="Normal 16 7 2 4 2" xfId="2208" xr:uid="{00000000-0005-0000-0000-00002A220000}"/>
    <cellStyle name="Normal 16 7 2 4 2 2" xfId="5555" xr:uid="{00000000-0005-0000-0000-00002B220000}"/>
    <cellStyle name="Normal 16 7 2 4 2 2 2" xfId="10869" xr:uid="{00000000-0005-0000-0000-00002C220000}"/>
    <cellStyle name="Normal 16 7 2 4 2 3" xfId="8211" xr:uid="{00000000-0005-0000-0000-00002D220000}"/>
    <cellStyle name="Normal 16 7 2 4 3" xfId="3129" xr:uid="{00000000-0005-0000-0000-00002E220000}"/>
    <cellStyle name="Normal 16 7 2 4 3 2" xfId="6432" xr:uid="{00000000-0005-0000-0000-00002F220000}"/>
    <cellStyle name="Normal 16 7 2 4 3 2 2" xfId="11746" xr:uid="{00000000-0005-0000-0000-000030220000}"/>
    <cellStyle name="Normal 16 7 2 4 3 3" xfId="9088" xr:uid="{00000000-0005-0000-0000-000031220000}"/>
    <cellStyle name="Normal 16 7 2 4 4" xfId="4550" xr:uid="{00000000-0005-0000-0000-000032220000}"/>
    <cellStyle name="Normal 16 7 2 4 4 2" xfId="9992" xr:uid="{00000000-0005-0000-0000-000033220000}"/>
    <cellStyle name="Normal 16 7 2 4 5" xfId="7334" xr:uid="{00000000-0005-0000-0000-000034220000}"/>
    <cellStyle name="Normal 16 7 2 5" xfId="1770" xr:uid="{00000000-0005-0000-0000-000035220000}"/>
    <cellStyle name="Normal 16 7 2 5 2" xfId="5119" xr:uid="{00000000-0005-0000-0000-000036220000}"/>
    <cellStyle name="Normal 16 7 2 5 2 2" xfId="10433" xr:uid="{00000000-0005-0000-0000-000037220000}"/>
    <cellStyle name="Normal 16 7 2 5 3" xfId="7775" xr:uid="{00000000-0005-0000-0000-000038220000}"/>
    <cellStyle name="Normal 16 7 2 6" xfId="2691" xr:uid="{00000000-0005-0000-0000-000039220000}"/>
    <cellStyle name="Normal 16 7 2 6 2" xfId="5996" xr:uid="{00000000-0005-0000-0000-00003A220000}"/>
    <cellStyle name="Normal 16 7 2 6 2 2" xfId="11310" xr:uid="{00000000-0005-0000-0000-00003B220000}"/>
    <cellStyle name="Normal 16 7 2 6 3" xfId="8652" xr:uid="{00000000-0005-0000-0000-00003C220000}"/>
    <cellStyle name="Normal 16 7 2 7" xfId="3865" xr:uid="{00000000-0005-0000-0000-00003D220000}"/>
    <cellStyle name="Normal 16 7 2 7 2" xfId="9556" xr:uid="{00000000-0005-0000-0000-00003E220000}"/>
    <cellStyle name="Normal 16 7 2 8" xfId="6898" xr:uid="{00000000-0005-0000-0000-00003F220000}"/>
    <cellStyle name="Normal 16 7 3" xfId="789" xr:uid="{00000000-0005-0000-0000-000040220000}"/>
    <cellStyle name="Normal 16 7 3 2" xfId="844" xr:uid="{00000000-0005-0000-0000-000041220000}"/>
    <cellStyle name="Normal 16 7 3 2 2" xfId="1529" xr:uid="{00000000-0005-0000-0000-000042220000}"/>
    <cellStyle name="Normal 16 7 3 2 2 2" xfId="2451" xr:uid="{00000000-0005-0000-0000-000043220000}"/>
    <cellStyle name="Normal 16 7 3 2 2 2 2" xfId="5798" xr:uid="{00000000-0005-0000-0000-000044220000}"/>
    <cellStyle name="Normal 16 7 3 2 2 2 2 2" xfId="11112" xr:uid="{00000000-0005-0000-0000-000045220000}"/>
    <cellStyle name="Normal 16 7 3 2 2 2 3" xfId="8454" xr:uid="{00000000-0005-0000-0000-000046220000}"/>
    <cellStyle name="Normal 16 7 3 2 2 3" xfId="3372" xr:uid="{00000000-0005-0000-0000-000047220000}"/>
    <cellStyle name="Normal 16 7 3 2 2 3 2" xfId="6675" xr:uid="{00000000-0005-0000-0000-000048220000}"/>
    <cellStyle name="Normal 16 7 3 2 2 3 2 2" xfId="11989" xr:uid="{00000000-0005-0000-0000-000049220000}"/>
    <cellStyle name="Normal 16 7 3 2 2 3 3" xfId="9331" xr:uid="{00000000-0005-0000-0000-00004A220000}"/>
    <cellStyle name="Normal 16 7 3 2 2 4" xfId="4921" xr:uid="{00000000-0005-0000-0000-00004B220000}"/>
    <cellStyle name="Normal 16 7 3 2 2 4 2" xfId="10235" xr:uid="{00000000-0005-0000-0000-00004C220000}"/>
    <cellStyle name="Normal 16 7 3 2 2 5" xfId="7577" xr:uid="{00000000-0005-0000-0000-00004D220000}"/>
    <cellStyle name="Normal 16 7 3 2 3" xfId="1534" xr:uid="{00000000-0005-0000-0000-00004E220000}"/>
    <cellStyle name="Normal 16 7 3 2 3 2" xfId="1537" xr:uid="{00000000-0005-0000-0000-00004F220000}"/>
    <cellStyle name="Normal 16 7 3 2 3 2 2" xfId="2459" xr:uid="{00000000-0005-0000-0000-000050220000}"/>
    <cellStyle name="Normal 16 7 3 2 3 2 2 2" xfId="5806" xr:uid="{00000000-0005-0000-0000-000051220000}"/>
    <cellStyle name="Normal 16 7 3 2 3 2 2 2 2" xfId="11120" xr:uid="{00000000-0005-0000-0000-000052220000}"/>
    <cellStyle name="Normal 16 7 3 2 3 2 2 3" xfId="8462" xr:uid="{00000000-0005-0000-0000-000053220000}"/>
    <cellStyle name="Normal 16 7 3 2 3 2 3" xfId="3380" xr:uid="{00000000-0005-0000-0000-000054220000}"/>
    <cellStyle name="Normal 16 7 3 2 3 2 3 2" xfId="6683" xr:uid="{00000000-0005-0000-0000-000055220000}"/>
    <cellStyle name="Normal 16 7 3 2 3 2 3 2 2" xfId="11997" xr:uid="{00000000-0005-0000-0000-000056220000}"/>
    <cellStyle name="Normal 16 7 3 2 3 2 3 3" xfId="9339" xr:uid="{00000000-0005-0000-0000-000057220000}"/>
    <cellStyle name="Normal 16 7 3 2 3 2 4" xfId="3383" xr:uid="{00000000-0005-0000-0000-000058220000}"/>
    <cellStyle name="Normal 16 7 3 2 3 2 4 2" xfId="3388" xr:uid="{00000000-0005-0000-0000-000059220000}"/>
    <cellStyle name="Normal 16 7 3 2 3 2 4 2 2" xfId="3390" xr:uid="{00000000-0005-0000-0000-00005A220000}"/>
    <cellStyle name="Normal 16 7 3 2 3 2 4 2 2 2" xfId="6693" xr:uid="{00000000-0005-0000-0000-00005B220000}"/>
    <cellStyle name="Normal 16 7 3 2 3 2 4 2 2 2 2" xfId="12007" xr:uid="{00000000-0005-0000-0000-00005C220000}"/>
    <cellStyle name="Normal 16 7 3 2 3 2 4 2 2 3" xfId="9349" xr:uid="{00000000-0005-0000-0000-00005D220000}"/>
    <cellStyle name="Normal 16 7 3 2 3 2 4 2 3" xfId="3392" xr:uid="{00000000-0005-0000-0000-00005E220000}"/>
    <cellStyle name="Normal 16 7 3 2 3 2 4 2 3 2" xfId="6695" xr:uid="{00000000-0005-0000-0000-00005F220000}"/>
    <cellStyle name="Normal 16 7 3 2 3 2 4 2 3 2 2" xfId="12009" xr:uid="{00000000-0005-0000-0000-000060220000}"/>
    <cellStyle name="Normal 16 7 3 2 3 2 4 2 3 3" xfId="9351" xr:uid="{00000000-0005-0000-0000-000061220000}"/>
    <cellStyle name="Normal 16 7 3 2 3 2 4 2 4" xfId="6691" xr:uid="{00000000-0005-0000-0000-000062220000}"/>
    <cellStyle name="Normal 16 7 3 2 3 2 4 2 4 2" xfId="12005" xr:uid="{00000000-0005-0000-0000-000063220000}"/>
    <cellStyle name="Normal 16 7 3 2 3 2 4 2 5" xfId="9347" xr:uid="{00000000-0005-0000-0000-000064220000}"/>
    <cellStyle name="Normal 16 7 3 2 3 2 4 3" xfId="6686" xr:uid="{00000000-0005-0000-0000-000065220000}"/>
    <cellStyle name="Normal 16 7 3 2 3 2 4 3 2" xfId="12000" xr:uid="{00000000-0005-0000-0000-000066220000}"/>
    <cellStyle name="Normal 16 7 3 2 3 2 4 4" xfId="9342" xr:uid="{00000000-0005-0000-0000-000067220000}"/>
    <cellStyle name="Normal 16 7 3 2 3 2 5" xfId="4929" xr:uid="{00000000-0005-0000-0000-000068220000}"/>
    <cellStyle name="Normal 16 7 3 2 3 2 5 2" xfId="10243" xr:uid="{00000000-0005-0000-0000-000069220000}"/>
    <cellStyle name="Normal 16 7 3 2 3 2 6" xfId="7585" xr:uid="{00000000-0005-0000-0000-00006A220000}"/>
    <cellStyle name="Normal 16 7 3 2 3 3" xfId="2456" xr:uid="{00000000-0005-0000-0000-00006B220000}"/>
    <cellStyle name="Normal 16 7 3 2 3 3 2" xfId="5803" xr:uid="{00000000-0005-0000-0000-00006C220000}"/>
    <cellStyle name="Normal 16 7 3 2 3 3 2 2" xfId="11117" xr:uid="{00000000-0005-0000-0000-00006D220000}"/>
    <cellStyle name="Normal 16 7 3 2 3 3 3" xfId="8459" xr:uid="{00000000-0005-0000-0000-00006E220000}"/>
    <cellStyle name="Normal 16 7 3 2 3 4" xfId="3377" xr:uid="{00000000-0005-0000-0000-00006F220000}"/>
    <cellStyle name="Normal 16 7 3 2 3 4 2" xfId="6680" xr:uid="{00000000-0005-0000-0000-000070220000}"/>
    <cellStyle name="Normal 16 7 3 2 3 4 2 2" xfId="11994" xr:uid="{00000000-0005-0000-0000-000071220000}"/>
    <cellStyle name="Normal 16 7 3 2 3 4 3" xfId="9336" xr:uid="{00000000-0005-0000-0000-000072220000}"/>
    <cellStyle name="Normal 16 7 3 2 3 5" xfId="4926" xr:uid="{00000000-0005-0000-0000-000073220000}"/>
    <cellStyle name="Normal 16 7 3 2 3 5 2" xfId="10240" xr:uid="{00000000-0005-0000-0000-000074220000}"/>
    <cellStyle name="Normal 16 7 3 2 3 6" xfId="7582" xr:uid="{00000000-0005-0000-0000-000075220000}"/>
    <cellStyle name="Normal 16 7 3 2 4" xfId="2015" xr:uid="{00000000-0005-0000-0000-000076220000}"/>
    <cellStyle name="Normal 16 7 3 2 4 2" xfId="5362" xr:uid="{00000000-0005-0000-0000-000077220000}"/>
    <cellStyle name="Normal 16 7 3 2 4 2 2" xfId="10676" xr:uid="{00000000-0005-0000-0000-000078220000}"/>
    <cellStyle name="Normal 16 7 3 2 4 3" xfId="8018" xr:uid="{00000000-0005-0000-0000-000079220000}"/>
    <cellStyle name="Normal 16 7 3 2 5" xfId="2936" xr:uid="{00000000-0005-0000-0000-00007A220000}"/>
    <cellStyle name="Normal 16 7 3 2 5 2" xfId="6239" xr:uid="{00000000-0005-0000-0000-00007B220000}"/>
    <cellStyle name="Normal 16 7 3 2 5 2 2" xfId="11553" xr:uid="{00000000-0005-0000-0000-00007C220000}"/>
    <cellStyle name="Normal 16 7 3 2 5 3" xfId="8895" xr:uid="{00000000-0005-0000-0000-00007D220000}"/>
    <cellStyle name="Normal 16 7 3 2 6" xfId="4236" xr:uid="{00000000-0005-0000-0000-00007E220000}"/>
    <cellStyle name="Normal 16 7 3 2 6 2" xfId="9799" xr:uid="{00000000-0005-0000-0000-00007F220000}"/>
    <cellStyle name="Normal 16 7 3 2 7" xfId="7141" xr:uid="{00000000-0005-0000-0000-000080220000}"/>
    <cellStyle name="Normal 16 7 3 3" xfId="1476" xr:uid="{00000000-0005-0000-0000-000081220000}"/>
    <cellStyle name="Normal 16 7 3 3 2" xfId="2404" xr:uid="{00000000-0005-0000-0000-000082220000}"/>
    <cellStyle name="Normal 16 7 3 3 2 2" xfId="5751" xr:uid="{00000000-0005-0000-0000-000083220000}"/>
    <cellStyle name="Normal 16 7 3 3 2 2 2" xfId="11065" xr:uid="{00000000-0005-0000-0000-000084220000}"/>
    <cellStyle name="Normal 16 7 3 3 2 3" xfId="8407" xr:uid="{00000000-0005-0000-0000-000085220000}"/>
    <cellStyle name="Normal 16 7 3 3 3" xfId="3325" xr:uid="{00000000-0005-0000-0000-000086220000}"/>
    <cellStyle name="Normal 16 7 3 3 3 2" xfId="6628" xr:uid="{00000000-0005-0000-0000-000087220000}"/>
    <cellStyle name="Normal 16 7 3 3 3 2 2" xfId="11942" xr:uid="{00000000-0005-0000-0000-000088220000}"/>
    <cellStyle name="Normal 16 7 3 3 3 3" xfId="9284" xr:uid="{00000000-0005-0000-0000-000089220000}"/>
    <cellStyle name="Normal 16 7 3 3 4" xfId="4868" xr:uid="{00000000-0005-0000-0000-00008A220000}"/>
    <cellStyle name="Normal 16 7 3 3 4 2" xfId="10188" xr:uid="{00000000-0005-0000-0000-00008B220000}"/>
    <cellStyle name="Normal 16 7 3 3 5" xfId="7530" xr:uid="{00000000-0005-0000-0000-00008C220000}"/>
    <cellStyle name="Normal 16 7 3 4" xfId="1966" xr:uid="{00000000-0005-0000-0000-00008D220000}"/>
    <cellStyle name="Normal 16 7 3 4 2" xfId="5315" xr:uid="{00000000-0005-0000-0000-00008E220000}"/>
    <cellStyle name="Normal 16 7 3 4 2 2" xfId="10629" xr:uid="{00000000-0005-0000-0000-00008F220000}"/>
    <cellStyle name="Normal 16 7 3 4 3" xfId="7971" xr:uid="{00000000-0005-0000-0000-000090220000}"/>
    <cellStyle name="Normal 16 7 3 5" xfId="2887" xr:uid="{00000000-0005-0000-0000-000091220000}"/>
    <cellStyle name="Normal 16 7 3 5 2" xfId="6192" xr:uid="{00000000-0005-0000-0000-000092220000}"/>
    <cellStyle name="Normal 16 7 3 5 2 2" xfId="11506" xr:uid="{00000000-0005-0000-0000-000093220000}"/>
    <cellStyle name="Normal 16 7 3 5 3" xfId="8848" xr:uid="{00000000-0005-0000-0000-000094220000}"/>
    <cellStyle name="Normal 16 7 3 6" xfId="4183" xr:uid="{00000000-0005-0000-0000-000095220000}"/>
    <cellStyle name="Normal 16 7 3 6 2" xfId="9752" xr:uid="{00000000-0005-0000-0000-000096220000}"/>
    <cellStyle name="Normal 16 7 3 7" xfId="7094" xr:uid="{00000000-0005-0000-0000-000097220000}"/>
    <cellStyle name="Normal 16 7 4" xfId="1154" xr:uid="{00000000-0005-0000-0000-000098220000}"/>
    <cellStyle name="Normal 16 7 4 2" xfId="2204" xr:uid="{00000000-0005-0000-0000-000099220000}"/>
    <cellStyle name="Normal 16 7 4 2 2" xfId="5551" xr:uid="{00000000-0005-0000-0000-00009A220000}"/>
    <cellStyle name="Normal 16 7 4 2 2 2" xfId="10865" xr:uid="{00000000-0005-0000-0000-00009B220000}"/>
    <cellStyle name="Normal 16 7 4 2 3" xfId="8207" xr:uid="{00000000-0005-0000-0000-00009C220000}"/>
    <cellStyle name="Normal 16 7 4 3" xfId="3125" xr:uid="{00000000-0005-0000-0000-00009D220000}"/>
    <cellStyle name="Normal 16 7 4 3 2" xfId="6428" xr:uid="{00000000-0005-0000-0000-00009E220000}"/>
    <cellStyle name="Normal 16 7 4 3 2 2" xfId="11742" xr:uid="{00000000-0005-0000-0000-00009F220000}"/>
    <cellStyle name="Normal 16 7 4 3 3" xfId="9084" xr:uid="{00000000-0005-0000-0000-0000A0220000}"/>
    <cellStyle name="Normal 16 7 4 4" xfId="4546" xr:uid="{00000000-0005-0000-0000-0000A1220000}"/>
    <cellStyle name="Normal 16 7 4 4 2" xfId="9988" xr:uid="{00000000-0005-0000-0000-0000A2220000}"/>
    <cellStyle name="Normal 16 7 4 5" xfId="7330" xr:uid="{00000000-0005-0000-0000-0000A3220000}"/>
    <cellStyle name="Normal 16 7 5" xfId="1766" xr:uid="{00000000-0005-0000-0000-0000A4220000}"/>
    <cellStyle name="Normal 16 7 5 2" xfId="5115" xr:uid="{00000000-0005-0000-0000-0000A5220000}"/>
    <cellStyle name="Normal 16 7 5 2 2" xfId="10429" xr:uid="{00000000-0005-0000-0000-0000A6220000}"/>
    <cellStyle name="Normal 16 7 5 3" xfId="7771" xr:uid="{00000000-0005-0000-0000-0000A7220000}"/>
    <cellStyle name="Normal 16 7 6" xfId="2687" xr:uid="{00000000-0005-0000-0000-0000A8220000}"/>
    <cellStyle name="Normal 16 7 6 2" xfId="5992" xr:uid="{00000000-0005-0000-0000-0000A9220000}"/>
    <cellStyle name="Normal 16 7 6 2 2" xfId="11306" xr:uid="{00000000-0005-0000-0000-0000AA220000}"/>
    <cellStyle name="Normal 16 7 6 3" xfId="8648" xr:uid="{00000000-0005-0000-0000-0000AB220000}"/>
    <cellStyle name="Normal 16 7 7" xfId="3861" xr:uid="{00000000-0005-0000-0000-0000AC220000}"/>
    <cellStyle name="Normal 16 7 7 2" xfId="9552" xr:uid="{00000000-0005-0000-0000-0000AD220000}"/>
    <cellStyle name="Normal 16 7 8" xfId="6894" xr:uid="{00000000-0005-0000-0000-0000AE220000}"/>
    <cellStyle name="Normal 16 8" xfId="489" xr:uid="{00000000-0005-0000-0000-0000AF220000}"/>
    <cellStyle name="Normal 16 8 2" xfId="1176" xr:uid="{00000000-0005-0000-0000-0000B0220000}"/>
    <cellStyle name="Normal 16 8 2 2" xfId="2225" xr:uid="{00000000-0005-0000-0000-0000B1220000}"/>
    <cellStyle name="Normal 16 8 2 2 2" xfId="5572" xr:uid="{00000000-0005-0000-0000-0000B2220000}"/>
    <cellStyle name="Normal 16 8 2 2 2 2" xfId="10886" xr:uid="{00000000-0005-0000-0000-0000B3220000}"/>
    <cellStyle name="Normal 16 8 2 2 3" xfId="8228" xr:uid="{00000000-0005-0000-0000-0000B4220000}"/>
    <cellStyle name="Normal 16 8 2 3" xfId="3146" xr:uid="{00000000-0005-0000-0000-0000B5220000}"/>
    <cellStyle name="Normal 16 8 2 3 2" xfId="6449" xr:uid="{00000000-0005-0000-0000-0000B6220000}"/>
    <cellStyle name="Normal 16 8 2 3 2 2" xfId="11763" xr:uid="{00000000-0005-0000-0000-0000B7220000}"/>
    <cellStyle name="Normal 16 8 2 3 3" xfId="9105" xr:uid="{00000000-0005-0000-0000-0000B8220000}"/>
    <cellStyle name="Normal 16 8 2 4" xfId="4568" xr:uid="{00000000-0005-0000-0000-0000B9220000}"/>
    <cellStyle name="Normal 16 8 2 4 2" xfId="10009" xr:uid="{00000000-0005-0000-0000-0000BA220000}"/>
    <cellStyle name="Normal 16 8 2 5" xfId="7351" xr:uid="{00000000-0005-0000-0000-0000BB220000}"/>
    <cellStyle name="Normal 16 8 3" xfId="1787" xr:uid="{00000000-0005-0000-0000-0000BC220000}"/>
    <cellStyle name="Normal 16 8 3 2" xfId="5136" xr:uid="{00000000-0005-0000-0000-0000BD220000}"/>
    <cellStyle name="Normal 16 8 3 2 2" xfId="10450" xr:uid="{00000000-0005-0000-0000-0000BE220000}"/>
    <cellStyle name="Normal 16 8 3 3" xfId="7792" xr:uid="{00000000-0005-0000-0000-0000BF220000}"/>
    <cellStyle name="Normal 16 8 4" xfId="2708" xr:uid="{00000000-0005-0000-0000-0000C0220000}"/>
    <cellStyle name="Normal 16 8 4 2" xfId="6013" xr:uid="{00000000-0005-0000-0000-0000C1220000}"/>
    <cellStyle name="Normal 16 8 4 2 2" xfId="11327" xr:uid="{00000000-0005-0000-0000-0000C2220000}"/>
    <cellStyle name="Normal 16 8 4 3" xfId="8669" xr:uid="{00000000-0005-0000-0000-0000C3220000}"/>
    <cellStyle name="Normal 16 8 5" xfId="3883" xr:uid="{00000000-0005-0000-0000-0000C4220000}"/>
    <cellStyle name="Normal 16 8 5 2" xfId="9573" xr:uid="{00000000-0005-0000-0000-0000C5220000}"/>
    <cellStyle name="Normal 16 8 6" xfId="6915" xr:uid="{00000000-0005-0000-0000-0000C6220000}"/>
    <cellStyle name="Normal 16 9" xfId="854" xr:uid="{00000000-0005-0000-0000-0000C7220000}"/>
    <cellStyle name="Normal 16 9 2" xfId="2025" xr:uid="{00000000-0005-0000-0000-0000C8220000}"/>
    <cellStyle name="Normal 16 9 2 2" xfId="5372" xr:uid="{00000000-0005-0000-0000-0000C9220000}"/>
    <cellStyle name="Normal 16 9 2 2 2" xfId="10686" xr:uid="{00000000-0005-0000-0000-0000CA220000}"/>
    <cellStyle name="Normal 16 9 2 3" xfId="8028" xr:uid="{00000000-0005-0000-0000-0000CB220000}"/>
    <cellStyle name="Normal 16 9 3" xfId="2946" xr:uid="{00000000-0005-0000-0000-0000CC220000}"/>
    <cellStyle name="Normal 16 9 3 2" xfId="6249" xr:uid="{00000000-0005-0000-0000-0000CD220000}"/>
    <cellStyle name="Normal 16 9 3 2 2" xfId="11563" xr:uid="{00000000-0005-0000-0000-0000CE220000}"/>
    <cellStyle name="Normal 16 9 3 3" xfId="8905" xr:uid="{00000000-0005-0000-0000-0000CF220000}"/>
    <cellStyle name="Normal 16 9 4" xfId="4246" xr:uid="{00000000-0005-0000-0000-0000D0220000}"/>
    <cellStyle name="Normal 16 9 4 2" xfId="9809" xr:uid="{00000000-0005-0000-0000-0000D1220000}"/>
    <cellStyle name="Normal 16 9 5" xfId="7151" xr:uid="{00000000-0005-0000-0000-0000D2220000}"/>
    <cellStyle name="Normal 17" xfId="241" xr:uid="{00000000-0005-0000-0000-0000D3220000}"/>
    <cellStyle name="Normal 17 2" xfId="434" xr:uid="{00000000-0005-0000-0000-0000D4220000}"/>
    <cellStyle name="Normal 17 2 2" xfId="757" xr:uid="{00000000-0005-0000-0000-0000D5220000}"/>
    <cellStyle name="Normal 17 2 2 2" xfId="1444" xr:uid="{00000000-0005-0000-0000-0000D6220000}"/>
    <cellStyle name="Normal 17 2 2 2 2" xfId="2376" xr:uid="{00000000-0005-0000-0000-0000D7220000}"/>
    <cellStyle name="Normal 17 2 2 2 2 2" xfId="5723" xr:uid="{00000000-0005-0000-0000-0000D8220000}"/>
    <cellStyle name="Normal 17 2 2 2 2 2 2" xfId="11037" xr:uid="{00000000-0005-0000-0000-0000D9220000}"/>
    <cellStyle name="Normal 17 2 2 2 2 3" xfId="8379" xr:uid="{00000000-0005-0000-0000-0000DA220000}"/>
    <cellStyle name="Normal 17 2 2 2 3" xfId="3297" xr:uid="{00000000-0005-0000-0000-0000DB220000}"/>
    <cellStyle name="Normal 17 2 2 2 3 2" xfId="6600" xr:uid="{00000000-0005-0000-0000-0000DC220000}"/>
    <cellStyle name="Normal 17 2 2 2 3 2 2" xfId="11914" xr:uid="{00000000-0005-0000-0000-0000DD220000}"/>
    <cellStyle name="Normal 17 2 2 2 3 3" xfId="9256" xr:uid="{00000000-0005-0000-0000-0000DE220000}"/>
    <cellStyle name="Normal 17 2 2 2 4" xfId="4836" xr:uid="{00000000-0005-0000-0000-0000DF220000}"/>
    <cellStyle name="Normal 17 2 2 2 4 2" xfId="10160" xr:uid="{00000000-0005-0000-0000-0000E0220000}"/>
    <cellStyle name="Normal 17 2 2 2 5" xfId="7502" xr:uid="{00000000-0005-0000-0000-0000E1220000}"/>
    <cellStyle name="Normal 17 2 2 3" xfId="1938" xr:uid="{00000000-0005-0000-0000-0000E2220000}"/>
    <cellStyle name="Normal 17 2 2 3 2" xfId="5287" xr:uid="{00000000-0005-0000-0000-0000E3220000}"/>
    <cellStyle name="Normal 17 2 2 3 2 2" xfId="10601" xr:uid="{00000000-0005-0000-0000-0000E4220000}"/>
    <cellStyle name="Normal 17 2 2 3 3" xfId="7943" xr:uid="{00000000-0005-0000-0000-0000E5220000}"/>
    <cellStyle name="Normal 17 2 2 4" xfId="2859" xr:uid="{00000000-0005-0000-0000-0000E6220000}"/>
    <cellStyle name="Normal 17 2 2 4 2" xfId="6164" xr:uid="{00000000-0005-0000-0000-0000E7220000}"/>
    <cellStyle name="Normal 17 2 2 4 2 2" xfId="11478" xr:uid="{00000000-0005-0000-0000-0000E8220000}"/>
    <cellStyle name="Normal 17 2 2 4 3" xfId="8820" xr:uid="{00000000-0005-0000-0000-0000E9220000}"/>
    <cellStyle name="Normal 17 2 2 5" xfId="4151" xr:uid="{00000000-0005-0000-0000-0000EA220000}"/>
    <cellStyle name="Normal 17 2 2 5 2" xfId="9724" xr:uid="{00000000-0005-0000-0000-0000EB220000}"/>
    <cellStyle name="Normal 17 2 2 6" xfId="7066" xr:uid="{00000000-0005-0000-0000-0000EC220000}"/>
    <cellStyle name="Normal 17 2 3" xfId="1122" xr:uid="{00000000-0005-0000-0000-0000ED220000}"/>
    <cellStyle name="Normal 17 2 3 2" xfId="2176" xr:uid="{00000000-0005-0000-0000-0000EE220000}"/>
    <cellStyle name="Normal 17 2 3 2 2" xfId="5523" xr:uid="{00000000-0005-0000-0000-0000EF220000}"/>
    <cellStyle name="Normal 17 2 3 2 2 2" xfId="10837" xr:uid="{00000000-0005-0000-0000-0000F0220000}"/>
    <cellStyle name="Normal 17 2 3 2 3" xfId="8179" xr:uid="{00000000-0005-0000-0000-0000F1220000}"/>
    <cellStyle name="Normal 17 2 3 3" xfId="3097" xr:uid="{00000000-0005-0000-0000-0000F2220000}"/>
    <cellStyle name="Normal 17 2 3 3 2" xfId="6400" xr:uid="{00000000-0005-0000-0000-0000F3220000}"/>
    <cellStyle name="Normal 17 2 3 3 2 2" xfId="11714" xr:uid="{00000000-0005-0000-0000-0000F4220000}"/>
    <cellStyle name="Normal 17 2 3 3 3" xfId="9056" xr:uid="{00000000-0005-0000-0000-0000F5220000}"/>
    <cellStyle name="Normal 17 2 3 4" xfId="4514" xr:uid="{00000000-0005-0000-0000-0000F6220000}"/>
    <cellStyle name="Normal 17 2 3 4 2" xfId="9960" xr:uid="{00000000-0005-0000-0000-0000F7220000}"/>
    <cellStyle name="Normal 17 2 3 5" xfId="7302" xr:uid="{00000000-0005-0000-0000-0000F8220000}"/>
    <cellStyle name="Normal 17 2 4" xfId="1738" xr:uid="{00000000-0005-0000-0000-0000F9220000}"/>
    <cellStyle name="Normal 17 2 4 2" xfId="5087" xr:uid="{00000000-0005-0000-0000-0000FA220000}"/>
    <cellStyle name="Normal 17 2 4 2 2" xfId="10401" xr:uid="{00000000-0005-0000-0000-0000FB220000}"/>
    <cellStyle name="Normal 17 2 4 3" xfId="7743" xr:uid="{00000000-0005-0000-0000-0000FC220000}"/>
    <cellStyle name="Normal 17 2 5" xfId="2659" xr:uid="{00000000-0005-0000-0000-0000FD220000}"/>
    <cellStyle name="Normal 17 2 5 2" xfId="5964" xr:uid="{00000000-0005-0000-0000-0000FE220000}"/>
    <cellStyle name="Normal 17 2 5 2 2" xfId="11278" xr:uid="{00000000-0005-0000-0000-0000FF220000}"/>
    <cellStyle name="Normal 17 2 5 3" xfId="8620" xr:uid="{00000000-0005-0000-0000-000000230000}"/>
    <cellStyle name="Normal 17 2 6" xfId="3829" xr:uid="{00000000-0005-0000-0000-000001230000}"/>
    <cellStyle name="Normal 17 2 6 2" xfId="9524" xr:uid="{00000000-0005-0000-0000-000002230000}"/>
    <cellStyle name="Normal 17 2 7" xfId="6866" xr:uid="{00000000-0005-0000-0000-000003230000}"/>
    <cellStyle name="Normal 17 3" xfId="608" xr:uid="{00000000-0005-0000-0000-000004230000}"/>
    <cellStyle name="Normal 17 3 2" xfId="1295" xr:uid="{00000000-0005-0000-0000-000005230000}"/>
    <cellStyle name="Normal 17 3 2 2" xfId="2287" xr:uid="{00000000-0005-0000-0000-000006230000}"/>
    <cellStyle name="Normal 17 3 2 2 2" xfId="5634" xr:uid="{00000000-0005-0000-0000-000007230000}"/>
    <cellStyle name="Normal 17 3 2 2 2 2" xfId="10948" xr:uid="{00000000-0005-0000-0000-000008230000}"/>
    <cellStyle name="Normal 17 3 2 2 3" xfId="8290" xr:uid="{00000000-0005-0000-0000-000009230000}"/>
    <cellStyle name="Normal 17 3 2 3" xfId="3208" xr:uid="{00000000-0005-0000-0000-00000A230000}"/>
    <cellStyle name="Normal 17 3 2 3 2" xfId="6511" xr:uid="{00000000-0005-0000-0000-00000B230000}"/>
    <cellStyle name="Normal 17 3 2 3 2 2" xfId="11825" xr:uid="{00000000-0005-0000-0000-00000C230000}"/>
    <cellStyle name="Normal 17 3 2 3 3" xfId="9167" xr:uid="{00000000-0005-0000-0000-00000D230000}"/>
    <cellStyle name="Normal 17 3 2 4" xfId="4687" xr:uid="{00000000-0005-0000-0000-00000E230000}"/>
    <cellStyle name="Normal 17 3 2 4 2" xfId="10071" xr:uid="{00000000-0005-0000-0000-00000F230000}"/>
    <cellStyle name="Normal 17 3 2 5" xfId="7413" xr:uid="{00000000-0005-0000-0000-000010230000}"/>
    <cellStyle name="Normal 17 3 3" xfId="1849" xr:uid="{00000000-0005-0000-0000-000011230000}"/>
    <cellStyle name="Normal 17 3 3 2" xfId="5198" xr:uid="{00000000-0005-0000-0000-000012230000}"/>
    <cellStyle name="Normal 17 3 3 2 2" xfId="10512" xr:uid="{00000000-0005-0000-0000-000013230000}"/>
    <cellStyle name="Normal 17 3 3 3" xfId="7854" xr:uid="{00000000-0005-0000-0000-000014230000}"/>
    <cellStyle name="Normal 17 3 4" xfId="2770" xr:uid="{00000000-0005-0000-0000-000015230000}"/>
    <cellStyle name="Normal 17 3 4 2" xfId="6075" xr:uid="{00000000-0005-0000-0000-000016230000}"/>
    <cellStyle name="Normal 17 3 4 2 2" xfId="11389" xr:uid="{00000000-0005-0000-0000-000017230000}"/>
    <cellStyle name="Normal 17 3 4 3" xfId="8731" xr:uid="{00000000-0005-0000-0000-000018230000}"/>
    <cellStyle name="Normal 17 3 5" xfId="4002" xr:uid="{00000000-0005-0000-0000-000019230000}"/>
    <cellStyle name="Normal 17 3 5 2" xfId="9635" xr:uid="{00000000-0005-0000-0000-00001A230000}"/>
    <cellStyle name="Normal 17 3 6" xfId="6977" xr:uid="{00000000-0005-0000-0000-00001B230000}"/>
    <cellStyle name="Normal 17 4" xfId="973" xr:uid="{00000000-0005-0000-0000-00001C230000}"/>
    <cellStyle name="Normal 17 4 2" xfId="2087" xr:uid="{00000000-0005-0000-0000-00001D230000}"/>
    <cellStyle name="Normal 17 4 2 2" xfId="5434" xr:uid="{00000000-0005-0000-0000-00001E230000}"/>
    <cellStyle name="Normal 17 4 2 2 2" xfId="10748" xr:uid="{00000000-0005-0000-0000-00001F230000}"/>
    <cellStyle name="Normal 17 4 2 3" xfId="8090" xr:uid="{00000000-0005-0000-0000-000020230000}"/>
    <cellStyle name="Normal 17 4 3" xfId="3008" xr:uid="{00000000-0005-0000-0000-000021230000}"/>
    <cellStyle name="Normal 17 4 3 2" xfId="6311" xr:uid="{00000000-0005-0000-0000-000022230000}"/>
    <cellStyle name="Normal 17 4 3 2 2" xfId="11625" xr:uid="{00000000-0005-0000-0000-000023230000}"/>
    <cellStyle name="Normal 17 4 3 3" xfId="8967" xr:uid="{00000000-0005-0000-0000-000024230000}"/>
    <cellStyle name="Normal 17 4 4" xfId="4365" xr:uid="{00000000-0005-0000-0000-000025230000}"/>
    <cellStyle name="Normal 17 4 4 2" xfId="9871" xr:uid="{00000000-0005-0000-0000-000026230000}"/>
    <cellStyle name="Normal 17 4 5" xfId="7213" xr:uid="{00000000-0005-0000-0000-000027230000}"/>
    <cellStyle name="Normal 17 5" xfId="1648" xr:uid="{00000000-0005-0000-0000-000028230000}"/>
    <cellStyle name="Normal 17 5 2" xfId="4998" xr:uid="{00000000-0005-0000-0000-000029230000}"/>
    <cellStyle name="Normal 17 5 2 2" xfId="10312" xr:uid="{00000000-0005-0000-0000-00002A230000}"/>
    <cellStyle name="Normal 17 5 3" xfId="7654" xr:uid="{00000000-0005-0000-0000-00002B230000}"/>
    <cellStyle name="Normal 17 6" xfId="2569" xr:uid="{00000000-0005-0000-0000-00002C230000}"/>
    <cellStyle name="Normal 17 6 2" xfId="5875" xr:uid="{00000000-0005-0000-0000-00002D230000}"/>
    <cellStyle name="Normal 17 6 2 2" xfId="11189" xr:uid="{00000000-0005-0000-0000-00002E230000}"/>
    <cellStyle name="Normal 17 6 3" xfId="8531" xr:uid="{00000000-0005-0000-0000-00002F230000}"/>
    <cellStyle name="Normal 17 7" xfId="3508" xr:uid="{00000000-0005-0000-0000-000030230000}"/>
    <cellStyle name="Normal 17 8" xfId="3680" xr:uid="{00000000-0005-0000-0000-000031230000}"/>
    <cellStyle name="Normal 17 8 2" xfId="9435" xr:uid="{00000000-0005-0000-0000-000032230000}"/>
    <cellStyle name="Normal 17 9" xfId="6772" xr:uid="{00000000-0005-0000-0000-000033230000}"/>
    <cellStyle name="Normal 18" xfId="42" xr:uid="{00000000-0005-0000-0000-000034230000}"/>
    <cellStyle name="Normal 18 2" xfId="3434" xr:uid="{00000000-0005-0000-0000-000035230000}"/>
    <cellStyle name="Normal 19" xfId="448" xr:uid="{00000000-0005-0000-0000-000036230000}"/>
    <cellStyle name="Normal 19 2" xfId="458" xr:uid="{00000000-0005-0000-0000-000037230000}"/>
    <cellStyle name="Normal 19 2 2" xfId="780" xr:uid="{00000000-0005-0000-0000-000038230000}"/>
    <cellStyle name="Normal 19 2 2 2" xfId="1467" xr:uid="{00000000-0005-0000-0000-000039230000}"/>
    <cellStyle name="Normal 19 2 2 2 2" xfId="2395" xr:uid="{00000000-0005-0000-0000-00003A230000}"/>
    <cellStyle name="Normal 19 2 2 2 2 2" xfId="5742" xr:uid="{00000000-0005-0000-0000-00003B230000}"/>
    <cellStyle name="Normal 19 2 2 2 2 2 2" xfId="11056" xr:uid="{00000000-0005-0000-0000-00003C230000}"/>
    <cellStyle name="Normal 19 2 2 2 2 3" xfId="8398" xr:uid="{00000000-0005-0000-0000-00003D230000}"/>
    <cellStyle name="Normal 19 2 2 2 3" xfId="3316" xr:uid="{00000000-0005-0000-0000-00003E230000}"/>
    <cellStyle name="Normal 19 2 2 2 3 2" xfId="6619" xr:uid="{00000000-0005-0000-0000-00003F230000}"/>
    <cellStyle name="Normal 19 2 2 2 3 2 2" xfId="11933" xr:uid="{00000000-0005-0000-0000-000040230000}"/>
    <cellStyle name="Normal 19 2 2 2 3 3" xfId="9275" xr:uid="{00000000-0005-0000-0000-000041230000}"/>
    <cellStyle name="Normal 19 2 2 2 4" xfId="4859" xr:uid="{00000000-0005-0000-0000-000042230000}"/>
    <cellStyle name="Normal 19 2 2 2 4 2" xfId="10179" xr:uid="{00000000-0005-0000-0000-000043230000}"/>
    <cellStyle name="Normal 19 2 2 2 5" xfId="7521" xr:uid="{00000000-0005-0000-0000-000044230000}"/>
    <cellStyle name="Normal 19 2 2 3" xfId="1957" xr:uid="{00000000-0005-0000-0000-000045230000}"/>
    <cellStyle name="Normal 19 2 2 3 2" xfId="5306" xr:uid="{00000000-0005-0000-0000-000046230000}"/>
    <cellStyle name="Normal 19 2 2 3 2 2" xfId="10620" xr:uid="{00000000-0005-0000-0000-000047230000}"/>
    <cellStyle name="Normal 19 2 2 3 3" xfId="7962" xr:uid="{00000000-0005-0000-0000-000048230000}"/>
    <cellStyle name="Normal 19 2 2 4" xfId="2878" xr:uid="{00000000-0005-0000-0000-000049230000}"/>
    <cellStyle name="Normal 19 2 2 4 2" xfId="6183" xr:uid="{00000000-0005-0000-0000-00004A230000}"/>
    <cellStyle name="Normal 19 2 2 4 2 2" xfId="11497" xr:uid="{00000000-0005-0000-0000-00004B230000}"/>
    <cellStyle name="Normal 19 2 2 4 3" xfId="8839" xr:uid="{00000000-0005-0000-0000-00004C230000}"/>
    <cellStyle name="Normal 19 2 2 5" xfId="4174" xr:uid="{00000000-0005-0000-0000-00004D230000}"/>
    <cellStyle name="Normal 19 2 2 5 2" xfId="9743" xr:uid="{00000000-0005-0000-0000-00004E230000}"/>
    <cellStyle name="Normal 19 2 2 6" xfId="7085" xr:uid="{00000000-0005-0000-0000-00004F230000}"/>
    <cellStyle name="Normal 19 2 3" xfId="1145" xr:uid="{00000000-0005-0000-0000-000050230000}"/>
    <cellStyle name="Normal 19 2 3 2" xfId="2195" xr:uid="{00000000-0005-0000-0000-000051230000}"/>
    <cellStyle name="Normal 19 2 3 2 2" xfId="5542" xr:uid="{00000000-0005-0000-0000-000052230000}"/>
    <cellStyle name="Normal 19 2 3 2 2 2" xfId="10856" xr:uid="{00000000-0005-0000-0000-000053230000}"/>
    <cellStyle name="Normal 19 2 3 2 3" xfId="8198" xr:uid="{00000000-0005-0000-0000-000054230000}"/>
    <cellStyle name="Normal 19 2 3 3" xfId="3116" xr:uid="{00000000-0005-0000-0000-000055230000}"/>
    <cellStyle name="Normal 19 2 3 3 2" xfId="6419" xr:uid="{00000000-0005-0000-0000-000056230000}"/>
    <cellStyle name="Normal 19 2 3 3 2 2" xfId="11733" xr:uid="{00000000-0005-0000-0000-000057230000}"/>
    <cellStyle name="Normal 19 2 3 3 3" xfId="9075" xr:uid="{00000000-0005-0000-0000-000058230000}"/>
    <cellStyle name="Normal 19 2 3 4" xfId="4537" xr:uid="{00000000-0005-0000-0000-000059230000}"/>
    <cellStyle name="Normal 19 2 3 4 2" xfId="9979" xr:uid="{00000000-0005-0000-0000-00005A230000}"/>
    <cellStyle name="Normal 19 2 3 5" xfId="7321" xr:uid="{00000000-0005-0000-0000-00005B230000}"/>
    <cellStyle name="Normal 19 2 4" xfId="1757" xr:uid="{00000000-0005-0000-0000-00005C230000}"/>
    <cellStyle name="Normal 19 2 4 2" xfId="5106" xr:uid="{00000000-0005-0000-0000-00005D230000}"/>
    <cellStyle name="Normal 19 2 4 2 2" xfId="10420" xr:uid="{00000000-0005-0000-0000-00005E230000}"/>
    <cellStyle name="Normal 19 2 4 3" xfId="7762" xr:uid="{00000000-0005-0000-0000-00005F230000}"/>
    <cellStyle name="Normal 19 2 5" xfId="2678" xr:uid="{00000000-0005-0000-0000-000060230000}"/>
    <cellStyle name="Normal 19 2 5 2" xfId="5983" xr:uid="{00000000-0005-0000-0000-000061230000}"/>
    <cellStyle name="Normal 19 2 5 2 2" xfId="11297" xr:uid="{00000000-0005-0000-0000-000062230000}"/>
    <cellStyle name="Normal 19 2 5 3" xfId="8639" xr:uid="{00000000-0005-0000-0000-000063230000}"/>
    <cellStyle name="Normal 19 2 6" xfId="3852" xr:uid="{00000000-0005-0000-0000-000064230000}"/>
    <cellStyle name="Normal 19 2 6 2" xfId="9543" xr:uid="{00000000-0005-0000-0000-000065230000}"/>
    <cellStyle name="Normal 19 2 7" xfId="6885" xr:uid="{00000000-0005-0000-0000-000066230000}"/>
    <cellStyle name="Normal 19 3" xfId="771" xr:uid="{00000000-0005-0000-0000-000067230000}"/>
    <cellStyle name="Normal 19 3 2" xfId="1458" xr:uid="{00000000-0005-0000-0000-000068230000}"/>
    <cellStyle name="Normal 19 3 2 2" xfId="2388" xr:uid="{00000000-0005-0000-0000-000069230000}"/>
    <cellStyle name="Normal 19 3 2 2 2" xfId="5735" xr:uid="{00000000-0005-0000-0000-00006A230000}"/>
    <cellStyle name="Normal 19 3 2 2 2 2" xfId="11049" xr:uid="{00000000-0005-0000-0000-00006B230000}"/>
    <cellStyle name="Normal 19 3 2 2 3" xfId="8391" xr:uid="{00000000-0005-0000-0000-00006C230000}"/>
    <cellStyle name="Normal 19 3 2 3" xfId="3309" xr:uid="{00000000-0005-0000-0000-00006D230000}"/>
    <cellStyle name="Normal 19 3 2 3 2" xfId="6612" xr:uid="{00000000-0005-0000-0000-00006E230000}"/>
    <cellStyle name="Normal 19 3 2 3 2 2" xfId="11926" xr:uid="{00000000-0005-0000-0000-00006F230000}"/>
    <cellStyle name="Normal 19 3 2 3 3" xfId="9268" xr:uid="{00000000-0005-0000-0000-000070230000}"/>
    <cellStyle name="Normal 19 3 2 4" xfId="4850" xr:uid="{00000000-0005-0000-0000-000071230000}"/>
    <cellStyle name="Normal 19 3 2 4 2" xfId="10172" xr:uid="{00000000-0005-0000-0000-000072230000}"/>
    <cellStyle name="Normal 19 3 2 5" xfId="7514" xr:uid="{00000000-0005-0000-0000-000073230000}"/>
    <cellStyle name="Normal 19 3 3" xfId="1950" xr:uid="{00000000-0005-0000-0000-000074230000}"/>
    <cellStyle name="Normal 19 3 3 2" xfId="5299" xr:uid="{00000000-0005-0000-0000-000075230000}"/>
    <cellStyle name="Normal 19 3 3 2 2" xfId="10613" xr:uid="{00000000-0005-0000-0000-000076230000}"/>
    <cellStyle name="Normal 19 3 3 3" xfId="7955" xr:uid="{00000000-0005-0000-0000-000077230000}"/>
    <cellStyle name="Normal 19 3 4" xfId="2871" xr:uid="{00000000-0005-0000-0000-000078230000}"/>
    <cellStyle name="Normal 19 3 4 2" xfId="6176" xr:uid="{00000000-0005-0000-0000-000079230000}"/>
    <cellStyle name="Normal 19 3 4 2 2" xfId="11490" xr:uid="{00000000-0005-0000-0000-00007A230000}"/>
    <cellStyle name="Normal 19 3 4 3" xfId="8832" xr:uid="{00000000-0005-0000-0000-00007B230000}"/>
    <cellStyle name="Normal 19 3 5" xfId="4165" xr:uid="{00000000-0005-0000-0000-00007C230000}"/>
    <cellStyle name="Normal 19 3 5 2" xfId="9736" xr:uid="{00000000-0005-0000-0000-00007D230000}"/>
    <cellStyle name="Normal 19 3 6" xfId="7078" xr:uid="{00000000-0005-0000-0000-00007E230000}"/>
    <cellStyle name="Normal 19 4" xfId="1136" xr:uid="{00000000-0005-0000-0000-00007F230000}"/>
    <cellStyle name="Normal 19 4 2" xfId="2188" xr:uid="{00000000-0005-0000-0000-000080230000}"/>
    <cellStyle name="Normal 19 4 2 2" xfId="5535" xr:uid="{00000000-0005-0000-0000-000081230000}"/>
    <cellStyle name="Normal 19 4 2 2 2" xfId="10849" xr:uid="{00000000-0005-0000-0000-000082230000}"/>
    <cellStyle name="Normal 19 4 2 3" xfId="8191" xr:uid="{00000000-0005-0000-0000-000083230000}"/>
    <cellStyle name="Normal 19 4 3" xfId="3109" xr:uid="{00000000-0005-0000-0000-000084230000}"/>
    <cellStyle name="Normal 19 4 3 2" xfId="6412" xr:uid="{00000000-0005-0000-0000-000085230000}"/>
    <cellStyle name="Normal 19 4 3 2 2" xfId="11726" xr:uid="{00000000-0005-0000-0000-000086230000}"/>
    <cellStyle name="Normal 19 4 3 3" xfId="9068" xr:uid="{00000000-0005-0000-0000-000087230000}"/>
    <cellStyle name="Normal 19 4 4" xfId="4528" xr:uid="{00000000-0005-0000-0000-000088230000}"/>
    <cellStyle name="Normal 19 4 4 2" xfId="9972" xr:uid="{00000000-0005-0000-0000-000089230000}"/>
    <cellStyle name="Normal 19 4 5" xfId="7314" xr:uid="{00000000-0005-0000-0000-00008A230000}"/>
    <cellStyle name="Normal 19 5" xfId="1750" xr:uid="{00000000-0005-0000-0000-00008B230000}"/>
    <cellStyle name="Normal 19 5 2" xfId="5099" xr:uid="{00000000-0005-0000-0000-00008C230000}"/>
    <cellStyle name="Normal 19 5 2 2" xfId="10413" xr:uid="{00000000-0005-0000-0000-00008D230000}"/>
    <cellStyle name="Normal 19 5 3" xfId="7755" xr:uid="{00000000-0005-0000-0000-00008E230000}"/>
    <cellStyle name="Normal 19 6" xfId="2671" xr:uid="{00000000-0005-0000-0000-00008F230000}"/>
    <cellStyle name="Normal 19 6 2" xfId="5976" xr:uid="{00000000-0005-0000-0000-000090230000}"/>
    <cellStyle name="Normal 19 6 2 2" xfId="11290" xr:uid="{00000000-0005-0000-0000-000091230000}"/>
    <cellStyle name="Normal 19 6 3" xfId="8632" xr:uid="{00000000-0005-0000-0000-000092230000}"/>
    <cellStyle name="Normal 19 7" xfId="3439" xr:uid="{00000000-0005-0000-0000-000093230000}"/>
    <cellStyle name="Normal 19 8" xfId="3843" xr:uid="{00000000-0005-0000-0000-000094230000}"/>
    <cellStyle name="Normal 19 8 2" xfId="9536" xr:uid="{00000000-0005-0000-0000-000095230000}"/>
    <cellStyle name="Normal 19 9" xfId="6878" xr:uid="{00000000-0005-0000-0000-000096230000}"/>
    <cellStyle name="Normal 2" xfId="43" xr:uid="{00000000-0005-0000-0000-000097230000}"/>
    <cellStyle name="Normal 2 2" xfId="44" xr:uid="{00000000-0005-0000-0000-000098230000}"/>
    <cellStyle name="Normal 2 2 2" xfId="45" xr:uid="{00000000-0005-0000-0000-000099230000}"/>
    <cellStyle name="Normal 2 2 2 2" xfId="3407" xr:uid="{00000000-0005-0000-0000-00009A230000}"/>
    <cellStyle name="Normal 2 2 2 3" xfId="3510" xr:uid="{00000000-0005-0000-0000-00009B230000}"/>
    <cellStyle name="Normal 2 2 3" xfId="46" xr:uid="{00000000-0005-0000-0000-00009C230000}"/>
    <cellStyle name="Normal 2 2 3 2" xfId="3451" xr:uid="{00000000-0005-0000-0000-00009D230000}"/>
    <cellStyle name="Normal 2 2 3 3" xfId="3449" xr:uid="{00000000-0005-0000-0000-00009E230000}"/>
    <cellStyle name="Normal 2 2 4" xfId="47" xr:uid="{00000000-0005-0000-0000-00009F230000}"/>
    <cellStyle name="Normal 2 2 4 2" xfId="3453" xr:uid="{00000000-0005-0000-0000-0000A0230000}"/>
    <cellStyle name="Normal 2 2 5" xfId="66" xr:uid="{00000000-0005-0000-0000-0000A1230000}"/>
    <cellStyle name="Normal 2 2 6" xfId="3509" xr:uid="{00000000-0005-0000-0000-0000A2230000}"/>
    <cellStyle name="Normal 2 3" xfId="48" xr:uid="{00000000-0005-0000-0000-0000A3230000}"/>
    <cellStyle name="Normal 2 3 2" xfId="3511" xr:uid="{00000000-0005-0000-0000-0000A4230000}"/>
    <cellStyle name="Normal 2 3 3" xfId="3455" xr:uid="{00000000-0005-0000-0000-0000A5230000}"/>
    <cellStyle name="Normal 2 3 3 2" xfId="9356" xr:uid="{00000000-0005-0000-0000-0000A6230000}"/>
    <cellStyle name="Normal 2 3 4" xfId="3499" xr:uid="{00000000-0005-0000-0000-0000A7230000}"/>
    <cellStyle name="Normal 2 4" xfId="240" xr:uid="{00000000-0005-0000-0000-0000A8230000}"/>
    <cellStyle name="Normal 2 4 2" xfId="3512" xr:uid="{00000000-0005-0000-0000-0000A9230000}"/>
    <cellStyle name="Normal 2 4 2 2" xfId="9361" xr:uid="{00000000-0005-0000-0000-0000AA230000}"/>
    <cellStyle name="Normal 2 5" xfId="3513" xr:uid="{00000000-0005-0000-0000-0000AB230000}"/>
    <cellStyle name="Normal 2 6" xfId="3514" xr:uid="{00000000-0005-0000-0000-0000AC230000}"/>
    <cellStyle name="Normal 20" xfId="821" xr:uid="{00000000-0005-0000-0000-0000AD230000}"/>
    <cellStyle name="Normal 20 2" xfId="1507" xr:uid="{00000000-0005-0000-0000-0000AE230000}"/>
    <cellStyle name="Normal 20 2 2" xfId="2433" xr:uid="{00000000-0005-0000-0000-0000AF230000}"/>
    <cellStyle name="Normal 20 2 2 2" xfId="5780" xr:uid="{00000000-0005-0000-0000-0000B0230000}"/>
    <cellStyle name="Normal 20 2 2 2 2" xfId="11094" xr:uid="{00000000-0005-0000-0000-0000B1230000}"/>
    <cellStyle name="Normal 20 2 2 3" xfId="8436" xr:uid="{00000000-0005-0000-0000-0000B2230000}"/>
    <cellStyle name="Normal 20 2 3" xfId="3354" xr:uid="{00000000-0005-0000-0000-0000B3230000}"/>
    <cellStyle name="Normal 20 2 3 2" xfId="6657" xr:uid="{00000000-0005-0000-0000-0000B4230000}"/>
    <cellStyle name="Normal 20 2 3 2 2" xfId="11971" xr:uid="{00000000-0005-0000-0000-0000B5230000}"/>
    <cellStyle name="Normal 20 2 3 3" xfId="9313" xr:uid="{00000000-0005-0000-0000-0000B6230000}"/>
    <cellStyle name="Normal 20 2 4" xfId="4899" xr:uid="{00000000-0005-0000-0000-0000B7230000}"/>
    <cellStyle name="Normal 20 2 4 2" xfId="10217" xr:uid="{00000000-0005-0000-0000-0000B8230000}"/>
    <cellStyle name="Normal 20 2 5" xfId="7559" xr:uid="{00000000-0005-0000-0000-0000B9230000}"/>
    <cellStyle name="Normal 20 3" xfId="1996" xr:uid="{00000000-0005-0000-0000-0000BA230000}"/>
    <cellStyle name="Normal 20 3 2" xfId="5344" xr:uid="{00000000-0005-0000-0000-0000BB230000}"/>
    <cellStyle name="Normal 20 3 2 2" xfId="10658" xr:uid="{00000000-0005-0000-0000-0000BC230000}"/>
    <cellStyle name="Normal 20 3 3" xfId="8000" xr:uid="{00000000-0005-0000-0000-0000BD230000}"/>
    <cellStyle name="Normal 20 4" xfId="2917" xr:uid="{00000000-0005-0000-0000-0000BE230000}"/>
    <cellStyle name="Normal 20 4 2" xfId="6221" xr:uid="{00000000-0005-0000-0000-0000BF230000}"/>
    <cellStyle name="Normal 20 4 2 2" xfId="11535" xr:uid="{00000000-0005-0000-0000-0000C0230000}"/>
    <cellStyle name="Normal 20 4 3" xfId="8877" xr:uid="{00000000-0005-0000-0000-0000C1230000}"/>
    <cellStyle name="Normal 20 5" xfId="3503" xr:uid="{00000000-0005-0000-0000-0000C2230000}"/>
    <cellStyle name="Normal 20 6" xfId="4214" xr:uid="{00000000-0005-0000-0000-0000C3230000}"/>
    <cellStyle name="Normal 20 6 2" xfId="9781" xr:uid="{00000000-0005-0000-0000-0000C4230000}"/>
    <cellStyle name="Normal 20 7" xfId="7123" xr:uid="{00000000-0005-0000-0000-0000C5230000}"/>
    <cellStyle name="Normal 21" xfId="3506" xr:uid="{00000000-0005-0000-0000-0000C6230000}"/>
    <cellStyle name="Normal 21 2" xfId="6696" xr:uid="{00000000-0005-0000-0000-0000C7230000}"/>
    <cellStyle name="Normal 22" xfId="49" xr:uid="{00000000-0005-0000-0000-0000C8230000}"/>
    <cellStyle name="Normal 23" xfId="293" xr:uid="{00000000-0005-0000-0000-0000C9230000}"/>
    <cellStyle name="Normal 24" xfId="3438" xr:uid="{00000000-0005-0000-0000-0000CA230000}"/>
    <cellStyle name="Normal 24 2" xfId="6698" xr:uid="{00000000-0005-0000-0000-0000CB230000}"/>
    <cellStyle name="Normal 25" xfId="3393" xr:uid="{00000000-0005-0000-0000-0000CC230000}"/>
    <cellStyle name="Normal 25 2" xfId="6701" xr:uid="{00000000-0005-0000-0000-0000CD230000}"/>
    <cellStyle name="Normal 25 3" xfId="9352" xr:uid="{00000000-0005-0000-0000-0000CE230000}"/>
    <cellStyle name="Normal 26" xfId="6699" xr:uid="{00000000-0005-0000-0000-0000CF230000}"/>
    <cellStyle name="Normal 27" xfId="12010" xr:uid="{468EE15A-7F0D-4B66-970D-63393BC1A1E6}"/>
    <cellStyle name="Normal 28" xfId="12016" xr:uid="{87DF7912-4CDF-4867-B3EB-7C1430B9A92D}"/>
    <cellStyle name="Normal 3" xfId="50" xr:uid="{00000000-0005-0000-0000-0000D0230000}"/>
    <cellStyle name="Normal 3 2" xfId="51" xr:uid="{00000000-0005-0000-0000-0000D1230000}"/>
    <cellStyle name="Normal 3 2 2" xfId="288" xr:uid="{00000000-0005-0000-0000-0000D2230000}"/>
    <cellStyle name="Normal 3 2 2 10" xfId="3517" xr:uid="{00000000-0005-0000-0000-0000D3230000}"/>
    <cellStyle name="Normal 3 2 2 11" xfId="3684" xr:uid="{00000000-0005-0000-0000-0000D4230000}"/>
    <cellStyle name="Normal 3 2 2 11 2" xfId="9438" xr:uid="{00000000-0005-0000-0000-0000D5230000}"/>
    <cellStyle name="Normal 3 2 2 12" xfId="6780" xr:uid="{00000000-0005-0000-0000-0000D6230000}"/>
    <cellStyle name="Normal 3 2 2 2" xfId="294" xr:uid="{00000000-0005-0000-0000-0000D7230000}"/>
    <cellStyle name="Normal 3 2 2 2 2" xfId="443" xr:uid="{00000000-0005-0000-0000-0000D8230000}"/>
    <cellStyle name="Normal 3 2 2 2 2 2" xfId="766" xr:uid="{00000000-0005-0000-0000-0000D9230000}"/>
    <cellStyle name="Normal 3 2 2 2 2 2 2" xfId="1453" xr:uid="{00000000-0005-0000-0000-0000DA230000}"/>
    <cellStyle name="Normal 3 2 2 2 2 2 2 2" xfId="2383" xr:uid="{00000000-0005-0000-0000-0000DB230000}"/>
    <cellStyle name="Normal 3 2 2 2 2 2 2 2 2" xfId="5730" xr:uid="{00000000-0005-0000-0000-0000DC230000}"/>
    <cellStyle name="Normal 3 2 2 2 2 2 2 2 2 2" xfId="11044" xr:uid="{00000000-0005-0000-0000-0000DD230000}"/>
    <cellStyle name="Normal 3 2 2 2 2 2 2 2 3" xfId="8386" xr:uid="{00000000-0005-0000-0000-0000DE230000}"/>
    <cellStyle name="Normal 3 2 2 2 2 2 2 3" xfId="3304" xr:uid="{00000000-0005-0000-0000-0000DF230000}"/>
    <cellStyle name="Normal 3 2 2 2 2 2 2 3 2" xfId="6607" xr:uid="{00000000-0005-0000-0000-0000E0230000}"/>
    <cellStyle name="Normal 3 2 2 2 2 2 2 3 2 2" xfId="11921" xr:uid="{00000000-0005-0000-0000-0000E1230000}"/>
    <cellStyle name="Normal 3 2 2 2 2 2 2 3 3" xfId="9263" xr:uid="{00000000-0005-0000-0000-0000E2230000}"/>
    <cellStyle name="Normal 3 2 2 2 2 2 2 4" xfId="4845" xr:uid="{00000000-0005-0000-0000-0000E3230000}"/>
    <cellStyle name="Normal 3 2 2 2 2 2 2 4 2" xfId="10167" xr:uid="{00000000-0005-0000-0000-0000E4230000}"/>
    <cellStyle name="Normal 3 2 2 2 2 2 2 5" xfId="7509" xr:uid="{00000000-0005-0000-0000-0000E5230000}"/>
    <cellStyle name="Normal 3 2 2 2 2 2 3" xfId="1945" xr:uid="{00000000-0005-0000-0000-0000E6230000}"/>
    <cellStyle name="Normal 3 2 2 2 2 2 3 2" xfId="5294" xr:uid="{00000000-0005-0000-0000-0000E7230000}"/>
    <cellStyle name="Normal 3 2 2 2 2 2 3 2 2" xfId="10608" xr:uid="{00000000-0005-0000-0000-0000E8230000}"/>
    <cellStyle name="Normal 3 2 2 2 2 2 3 3" xfId="7950" xr:uid="{00000000-0005-0000-0000-0000E9230000}"/>
    <cellStyle name="Normal 3 2 2 2 2 2 4" xfId="2866" xr:uid="{00000000-0005-0000-0000-0000EA230000}"/>
    <cellStyle name="Normal 3 2 2 2 2 2 4 2" xfId="6171" xr:uid="{00000000-0005-0000-0000-0000EB230000}"/>
    <cellStyle name="Normal 3 2 2 2 2 2 4 2 2" xfId="11485" xr:uid="{00000000-0005-0000-0000-0000EC230000}"/>
    <cellStyle name="Normal 3 2 2 2 2 2 4 3" xfId="8827" xr:uid="{00000000-0005-0000-0000-0000ED230000}"/>
    <cellStyle name="Normal 3 2 2 2 2 2 5" xfId="4160" xr:uid="{00000000-0005-0000-0000-0000EE230000}"/>
    <cellStyle name="Normal 3 2 2 2 2 2 5 2" xfId="9731" xr:uid="{00000000-0005-0000-0000-0000EF230000}"/>
    <cellStyle name="Normal 3 2 2 2 2 2 6" xfId="7073" xr:uid="{00000000-0005-0000-0000-0000F0230000}"/>
    <cellStyle name="Normal 3 2 2 2 2 3" xfId="1131" xr:uid="{00000000-0005-0000-0000-0000F1230000}"/>
    <cellStyle name="Normal 3 2 2 2 2 3 2" xfId="2183" xr:uid="{00000000-0005-0000-0000-0000F2230000}"/>
    <cellStyle name="Normal 3 2 2 2 2 3 2 2" xfId="5530" xr:uid="{00000000-0005-0000-0000-0000F3230000}"/>
    <cellStyle name="Normal 3 2 2 2 2 3 2 2 2" xfId="10844" xr:uid="{00000000-0005-0000-0000-0000F4230000}"/>
    <cellStyle name="Normal 3 2 2 2 2 3 2 3" xfId="8186" xr:uid="{00000000-0005-0000-0000-0000F5230000}"/>
    <cellStyle name="Normal 3 2 2 2 2 3 3" xfId="3104" xr:uid="{00000000-0005-0000-0000-0000F6230000}"/>
    <cellStyle name="Normal 3 2 2 2 2 3 3 2" xfId="6407" xr:uid="{00000000-0005-0000-0000-0000F7230000}"/>
    <cellStyle name="Normal 3 2 2 2 2 3 3 2 2" xfId="11721" xr:uid="{00000000-0005-0000-0000-0000F8230000}"/>
    <cellStyle name="Normal 3 2 2 2 2 3 3 3" xfId="9063" xr:uid="{00000000-0005-0000-0000-0000F9230000}"/>
    <cellStyle name="Normal 3 2 2 2 2 3 4" xfId="4523" xr:uid="{00000000-0005-0000-0000-0000FA230000}"/>
    <cellStyle name="Normal 3 2 2 2 2 3 4 2" xfId="9967" xr:uid="{00000000-0005-0000-0000-0000FB230000}"/>
    <cellStyle name="Normal 3 2 2 2 2 3 5" xfId="7309" xr:uid="{00000000-0005-0000-0000-0000FC230000}"/>
    <cellStyle name="Normal 3 2 2 2 2 4" xfId="1745" xr:uid="{00000000-0005-0000-0000-0000FD230000}"/>
    <cellStyle name="Normal 3 2 2 2 2 4 2" xfId="5094" xr:uid="{00000000-0005-0000-0000-0000FE230000}"/>
    <cellStyle name="Normal 3 2 2 2 2 4 2 2" xfId="10408" xr:uid="{00000000-0005-0000-0000-0000FF230000}"/>
    <cellStyle name="Normal 3 2 2 2 2 4 3" xfId="7750" xr:uid="{00000000-0005-0000-0000-000000240000}"/>
    <cellStyle name="Normal 3 2 2 2 2 5" xfId="2666" xr:uid="{00000000-0005-0000-0000-000001240000}"/>
    <cellStyle name="Normal 3 2 2 2 2 5 2" xfId="5971" xr:uid="{00000000-0005-0000-0000-000002240000}"/>
    <cellStyle name="Normal 3 2 2 2 2 5 2 2" xfId="11285" xr:uid="{00000000-0005-0000-0000-000003240000}"/>
    <cellStyle name="Normal 3 2 2 2 2 5 3" xfId="8627" xr:uid="{00000000-0005-0000-0000-000004240000}"/>
    <cellStyle name="Normal 3 2 2 2 2 6" xfId="3838" xr:uid="{00000000-0005-0000-0000-000005240000}"/>
    <cellStyle name="Normal 3 2 2 2 2 6 2" xfId="9531" xr:uid="{00000000-0005-0000-0000-000006240000}"/>
    <cellStyle name="Normal 3 2 2 2 2 7" xfId="6873" xr:uid="{00000000-0005-0000-0000-000007240000}"/>
    <cellStyle name="Normal 3 2 2 2 3" xfId="617" xr:uid="{00000000-0005-0000-0000-000008240000}"/>
    <cellStyle name="Normal 3 2 2 2 3 2" xfId="1304" xr:uid="{00000000-0005-0000-0000-000009240000}"/>
    <cellStyle name="Normal 3 2 2 2 3 2 2" xfId="2294" xr:uid="{00000000-0005-0000-0000-00000A240000}"/>
    <cellStyle name="Normal 3 2 2 2 3 2 2 2" xfId="5641" xr:uid="{00000000-0005-0000-0000-00000B240000}"/>
    <cellStyle name="Normal 3 2 2 2 3 2 2 2 2" xfId="10955" xr:uid="{00000000-0005-0000-0000-00000C240000}"/>
    <cellStyle name="Normal 3 2 2 2 3 2 2 3" xfId="8297" xr:uid="{00000000-0005-0000-0000-00000D240000}"/>
    <cellStyle name="Normal 3 2 2 2 3 2 3" xfId="3215" xr:uid="{00000000-0005-0000-0000-00000E240000}"/>
    <cellStyle name="Normal 3 2 2 2 3 2 3 2" xfId="6518" xr:uid="{00000000-0005-0000-0000-00000F240000}"/>
    <cellStyle name="Normal 3 2 2 2 3 2 3 2 2" xfId="11832" xr:uid="{00000000-0005-0000-0000-000010240000}"/>
    <cellStyle name="Normal 3 2 2 2 3 2 3 3" xfId="9174" xr:uid="{00000000-0005-0000-0000-000011240000}"/>
    <cellStyle name="Normal 3 2 2 2 3 2 4" xfId="4696" xr:uid="{00000000-0005-0000-0000-000012240000}"/>
    <cellStyle name="Normal 3 2 2 2 3 2 4 2" xfId="10078" xr:uid="{00000000-0005-0000-0000-000013240000}"/>
    <cellStyle name="Normal 3 2 2 2 3 2 5" xfId="7420" xr:uid="{00000000-0005-0000-0000-000014240000}"/>
    <cellStyle name="Normal 3 2 2 2 3 3" xfId="1856" xr:uid="{00000000-0005-0000-0000-000015240000}"/>
    <cellStyle name="Normal 3 2 2 2 3 3 2" xfId="5205" xr:uid="{00000000-0005-0000-0000-000016240000}"/>
    <cellStyle name="Normal 3 2 2 2 3 3 2 2" xfId="10519" xr:uid="{00000000-0005-0000-0000-000017240000}"/>
    <cellStyle name="Normal 3 2 2 2 3 3 3" xfId="7861" xr:uid="{00000000-0005-0000-0000-000018240000}"/>
    <cellStyle name="Normal 3 2 2 2 3 4" xfId="2777" xr:uid="{00000000-0005-0000-0000-000019240000}"/>
    <cellStyle name="Normal 3 2 2 2 3 4 2" xfId="6082" xr:uid="{00000000-0005-0000-0000-00001A240000}"/>
    <cellStyle name="Normal 3 2 2 2 3 4 2 2" xfId="11396" xr:uid="{00000000-0005-0000-0000-00001B240000}"/>
    <cellStyle name="Normal 3 2 2 2 3 4 3" xfId="8738" xr:uid="{00000000-0005-0000-0000-00001C240000}"/>
    <cellStyle name="Normal 3 2 2 2 3 5" xfId="4011" xr:uid="{00000000-0005-0000-0000-00001D240000}"/>
    <cellStyle name="Normal 3 2 2 2 3 5 2" xfId="9642" xr:uid="{00000000-0005-0000-0000-00001E240000}"/>
    <cellStyle name="Normal 3 2 2 2 3 6" xfId="6984" xr:uid="{00000000-0005-0000-0000-00001F240000}"/>
    <cellStyle name="Normal 3 2 2 2 4" xfId="982" xr:uid="{00000000-0005-0000-0000-000020240000}"/>
    <cellStyle name="Normal 3 2 2 2 4 2" xfId="2094" xr:uid="{00000000-0005-0000-0000-000021240000}"/>
    <cellStyle name="Normal 3 2 2 2 4 2 2" xfId="5441" xr:uid="{00000000-0005-0000-0000-000022240000}"/>
    <cellStyle name="Normal 3 2 2 2 4 2 2 2" xfId="10755" xr:uid="{00000000-0005-0000-0000-000023240000}"/>
    <cellStyle name="Normal 3 2 2 2 4 2 3" xfId="8097" xr:uid="{00000000-0005-0000-0000-000024240000}"/>
    <cellStyle name="Normal 3 2 2 2 4 3" xfId="3015" xr:uid="{00000000-0005-0000-0000-000025240000}"/>
    <cellStyle name="Normal 3 2 2 2 4 3 2" xfId="6318" xr:uid="{00000000-0005-0000-0000-000026240000}"/>
    <cellStyle name="Normal 3 2 2 2 4 3 2 2" xfId="11632" xr:uid="{00000000-0005-0000-0000-000027240000}"/>
    <cellStyle name="Normal 3 2 2 2 4 3 3" xfId="8974" xr:uid="{00000000-0005-0000-0000-000028240000}"/>
    <cellStyle name="Normal 3 2 2 2 4 4" xfId="4374" xr:uid="{00000000-0005-0000-0000-000029240000}"/>
    <cellStyle name="Normal 3 2 2 2 4 4 2" xfId="9878" xr:uid="{00000000-0005-0000-0000-00002A240000}"/>
    <cellStyle name="Normal 3 2 2 2 4 5" xfId="7220" xr:uid="{00000000-0005-0000-0000-00002B240000}"/>
    <cellStyle name="Normal 3 2 2 2 5" xfId="1656" xr:uid="{00000000-0005-0000-0000-00002C240000}"/>
    <cellStyle name="Normal 3 2 2 2 5 2" xfId="5005" xr:uid="{00000000-0005-0000-0000-00002D240000}"/>
    <cellStyle name="Normal 3 2 2 2 5 2 2" xfId="10319" xr:uid="{00000000-0005-0000-0000-00002E240000}"/>
    <cellStyle name="Normal 3 2 2 2 5 3" xfId="7661" xr:uid="{00000000-0005-0000-0000-00002F240000}"/>
    <cellStyle name="Normal 3 2 2 2 6" xfId="2577" xr:uid="{00000000-0005-0000-0000-000030240000}"/>
    <cellStyle name="Normal 3 2 2 2 6 2" xfId="5882" xr:uid="{00000000-0005-0000-0000-000031240000}"/>
    <cellStyle name="Normal 3 2 2 2 6 2 2" xfId="11196" xr:uid="{00000000-0005-0000-0000-000032240000}"/>
    <cellStyle name="Normal 3 2 2 2 6 3" xfId="8538" xr:uid="{00000000-0005-0000-0000-000033240000}"/>
    <cellStyle name="Normal 3 2 2 2 7" xfId="3689" xr:uid="{00000000-0005-0000-0000-000034240000}"/>
    <cellStyle name="Normal 3 2 2 2 7 2" xfId="9442" xr:uid="{00000000-0005-0000-0000-000035240000}"/>
    <cellStyle name="Normal 3 2 2 2 8" xfId="6784" xr:uid="{00000000-0005-0000-0000-000036240000}"/>
    <cellStyle name="Normal 3 2 2 3" xfId="296" xr:uid="{00000000-0005-0000-0000-000037240000}"/>
    <cellStyle name="Normal 3 2 2 3 10" xfId="6786" xr:uid="{00000000-0005-0000-0000-000038240000}"/>
    <cellStyle name="Normal 3 2 2 3 2" xfId="301" xr:uid="{00000000-0005-0000-0000-000039240000}"/>
    <cellStyle name="Normal 3 2 2 3 2 2" xfId="447" xr:uid="{00000000-0005-0000-0000-00003A240000}"/>
    <cellStyle name="Normal 3 2 2 3 2 2 2" xfId="770" xr:uid="{00000000-0005-0000-0000-00003B240000}"/>
    <cellStyle name="Normal 3 2 2 3 2 2 2 2" xfId="1457" xr:uid="{00000000-0005-0000-0000-00003C240000}"/>
    <cellStyle name="Normal 3 2 2 3 2 2 2 2 2" xfId="2387" xr:uid="{00000000-0005-0000-0000-00003D240000}"/>
    <cellStyle name="Normal 3 2 2 3 2 2 2 2 2 2" xfId="5734" xr:uid="{00000000-0005-0000-0000-00003E240000}"/>
    <cellStyle name="Normal 3 2 2 3 2 2 2 2 2 2 2" xfId="11048" xr:uid="{00000000-0005-0000-0000-00003F240000}"/>
    <cellStyle name="Normal 3 2 2 3 2 2 2 2 2 3" xfId="8390" xr:uid="{00000000-0005-0000-0000-000040240000}"/>
    <cellStyle name="Normal 3 2 2 3 2 2 2 2 3" xfId="3308" xr:uid="{00000000-0005-0000-0000-000041240000}"/>
    <cellStyle name="Normal 3 2 2 3 2 2 2 2 3 2" xfId="6611" xr:uid="{00000000-0005-0000-0000-000042240000}"/>
    <cellStyle name="Normal 3 2 2 3 2 2 2 2 3 2 2" xfId="11925" xr:uid="{00000000-0005-0000-0000-000043240000}"/>
    <cellStyle name="Normal 3 2 2 3 2 2 2 2 3 3" xfId="9267" xr:uid="{00000000-0005-0000-0000-000044240000}"/>
    <cellStyle name="Normal 3 2 2 3 2 2 2 2 4" xfId="4849" xr:uid="{00000000-0005-0000-0000-000045240000}"/>
    <cellStyle name="Normal 3 2 2 3 2 2 2 2 4 2" xfId="10171" xr:uid="{00000000-0005-0000-0000-000046240000}"/>
    <cellStyle name="Normal 3 2 2 3 2 2 2 2 5" xfId="7513" xr:uid="{00000000-0005-0000-0000-000047240000}"/>
    <cellStyle name="Normal 3 2 2 3 2 2 2 3" xfId="1949" xr:uid="{00000000-0005-0000-0000-000048240000}"/>
    <cellStyle name="Normal 3 2 2 3 2 2 2 3 2" xfId="5298" xr:uid="{00000000-0005-0000-0000-000049240000}"/>
    <cellStyle name="Normal 3 2 2 3 2 2 2 3 2 2" xfId="10612" xr:uid="{00000000-0005-0000-0000-00004A240000}"/>
    <cellStyle name="Normal 3 2 2 3 2 2 2 3 3" xfId="7954" xr:uid="{00000000-0005-0000-0000-00004B240000}"/>
    <cellStyle name="Normal 3 2 2 3 2 2 2 4" xfId="2870" xr:uid="{00000000-0005-0000-0000-00004C240000}"/>
    <cellStyle name="Normal 3 2 2 3 2 2 2 4 2" xfId="6175" xr:uid="{00000000-0005-0000-0000-00004D240000}"/>
    <cellStyle name="Normal 3 2 2 3 2 2 2 4 2 2" xfId="11489" xr:uid="{00000000-0005-0000-0000-00004E240000}"/>
    <cellStyle name="Normal 3 2 2 3 2 2 2 4 3" xfId="8831" xr:uid="{00000000-0005-0000-0000-00004F240000}"/>
    <cellStyle name="Normal 3 2 2 3 2 2 2 5" xfId="4164" xr:uid="{00000000-0005-0000-0000-000050240000}"/>
    <cellStyle name="Normal 3 2 2 3 2 2 2 5 2" xfId="9735" xr:uid="{00000000-0005-0000-0000-000051240000}"/>
    <cellStyle name="Normal 3 2 2 3 2 2 2 6" xfId="7077" xr:uid="{00000000-0005-0000-0000-000052240000}"/>
    <cellStyle name="Normal 3 2 2 3 2 2 3" xfId="1135" xr:uid="{00000000-0005-0000-0000-000053240000}"/>
    <cellStyle name="Normal 3 2 2 3 2 2 3 2" xfId="2187" xr:uid="{00000000-0005-0000-0000-000054240000}"/>
    <cellStyle name="Normal 3 2 2 3 2 2 3 2 2" xfId="5534" xr:uid="{00000000-0005-0000-0000-000055240000}"/>
    <cellStyle name="Normal 3 2 2 3 2 2 3 2 2 2" xfId="10848" xr:uid="{00000000-0005-0000-0000-000056240000}"/>
    <cellStyle name="Normal 3 2 2 3 2 2 3 2 3" xfId="8190" xr:uid="{00000000-0005-0000-0000-000057240000}"/>
    <cellStyle name="Normal 3 2 2 3 2 2 3 3" xfId="3108" xr:uid="{00000000-0005-0000-0000-000058240000}"/>
    <cellStyle name="Normal 3 2 2 3 2 2 3 3 2" xfId="6411" xr:uid="{00000000-0005-0000-0000-000059240000}"/>
    <cellStyle name="Normal 3 2 2 3 2 2 3 3 2 2" xfId="11725" xr:uid="{00000000-0005-0000-0000-00005A240000}"/>
    <cellStyle name="Normal 3 2 2 3 2 2 3 3 3" xfId="9067" xr:uid="{00000000-0005-0000-0000-00005B240000}"/>
    <cellStyle name="Normal 3 2 2 3 2 2 3 4" xfId="4527" xr:uid="{00000000-0005-0000-0000-00005C240000}"/>
    <cellStyle name="Normal 3 2 2 3 2 2 3 4 2" xfId="9971" xr:uid="{00000000-0005-0000-0000-00005D240000}"/>
    <cellStyle name="Normal 3 2 2 3 2 2 3 5" xfId="7313" xr:uid="{00000000-0005-0000-0000-00005E240000}"/>
    <cellStyle name="Normal 3 2 2 3 2 2 4" xfId="1749" xr:uid="{00000000-0005-0000-0000-00005F240000}"/>
    <cellStyle name="Normal 3 2 2 3 2 2 4 2" xfId="5098" xr:uid="{00000000-0005-0000-0000-000060240000}"/>
    <cellStyle name="Normal 3 2 2 3 2 2 4 2 2" xfId="10412" xr:uid="{00000000-0005-0000-0000-000061240000}"/>
    <cellStyle name="Normal 3 2 2 3 2 2 4 3" xfId="7754" xr:uid="{00000000-0005-0000-0000-000062240000}"/>
    <cellStyle name="Normal 3 2 2 3 2 2 5" xfId="2670" xr:uid="{00000000-0005-0000-0000-000063240000}"/>
    <cellStyle name="Normal 3 2 2 3 2 2 5 2" xfId="5975" xr:uid="{00000000-0005-0000-0000-000064240000}"/>
    <cellStyle name="Normal 3 2 2 3 2 2 5 2 2" xfId="11289" xr:uid="{00000000-0005-0000-0000-000065240000}"/>
    <cellStyle name="Normal 3 2 2 3 2 2 5 3" xfId="8631" xr:uid="{00000000-0005-0000-0000-000066240000}"/>
    <cellStyle name="Normal 3 2 2 3 2 2 6" xfId="3842" xr:uid="{00000000-0005-0000-0000-000067240000}"/>
    <cellStyle name="Normal 3 2 2 3 2 2 6 2" xfId="9535" xr:uid="{00000000-0005-0000-0000-000068240000}"/>
    <cellStyle name="Normal 3 2 2 3 2 2 7" xfId="6877" xr:uid="{00000000-0005-0000-0000-000069240000}"/>
    <cellStyle name="Normal 3 2 2 3 2 3" xfId="446" xr:uid="{00000000-0005-0000-0000-00006A240000}"/>
    <cellStyle name="Normal 3 2 2 3 2 3 2" xfId="769" xr:uid="{00000000-0005-0000-0000-00006B240000}"/>
    <cellStyle name="Normal 3 2 2 3 2 3 2 2" xfId="1456" xr:uid="{00000000-0005-0000-0000-00006C240000}"/>
    <cellStyle name="Normal 3 2 2 3 2 3 2 2 2" xfId="2386" xr:uid="{00000000-0005-0000-0000-00006D240000}"/>
    <cellStyle name="Normal 3 2 2 3 2 3 2 2 2 2" xfId="5733" xr:uid="{00000000-0005-0000-0000-00006E240000}"/>
    <cellStyle name="Normal 3 2 2 3 2 3 2 2 2 2 2" xfId="11047" xr:uid="{00000000-0005-0000-0000-00006F240000}"/>
    <cellStyle name="Normal 3 2 2 3 2 3 2 2 2 3" xfId="8389" xr:uid="{00000000-0005-0000-0000-000070240000}"/>
    <cellStyle name="Normal 3 2 2 3 2 3 2 2 3" xfId="3307" xr:uid="{00000000-0005-0000-0000-000071240000}"/>
    <cellStyle name="Normal 3 2 2 3 2 3 2 2 3 2" xfId="6610" xr:uid="{00000000-0005-0000-0000-000072240000}"/>
    <cellStyle name="Normal 3 2 2 3 2 3 2 2 3 2 2" xfId="11924" xr:uid="{00000000-0005-0000-0000-000073240000}"/>
    <cellStyle name="Normal 3 2 2 3 2 3 2 2 3 3" xfId="9266" xr:uid="{00000000-0005-0000-0000-000074240000}"/>
    <cellStyle name="Normal 3 2 2 3 2 3 2 2 4" xfId="4848" xr:uid="{00000000-0005-0000-0000-000075240000}"/>
    <cellStyle name="Normal 3 2 2 3 2 3 2 2 4 2" xfId="10170" xr:uid="{00000000-0005-0000-0000-000076240000}"/>
    <cellStyle name="Normal 3 2 2 3 2 3 2 2 5" xfId="7512" xr:uid="{00000000-0005-0000-0000-000077240000}"/>
    <cellStyle name="Normal 3 2 2 3 2 3 2 3" xfId="1948" xr:uid="{00000000-0005-0000-0000-000078240000}"/>
    <cellStyle name="Normal 3 2 2 3 2 3 2 3 2" xfId="5297" xr:uid="{00000000-0005-0000-0000-000079240000}"/>
    <cellStyle name="Normal 3 2 2 3 2 3 2 3 2 2" xfId="10611" xr:uid="{00000000-0005-0000-0000-00007A240000}"/>
    <cellStyle name="Normal 3 2 2 3 2 3 2 3 3" xfId="7953" xr:uid="{00000000-0005-0000-0000-00007B240000}"/>
    <cellStyle name="Normal 3 2 2 3 2 3 2 4" xfId="2869" xr:uid="{00000000-0005-0000-0000-00007C240000}"/>
    <cellStyle name="Normal 3 2 2 3 2 3 2 4 2" xfId="6174" xr:uid="{00000000-0005-0000-0000-00007D240000}"/>
    <cellStyle name="Normal 3 2 2 3 2 3 2 4 2 2" xfId="11488" xr:uid="{00000000-0005-0000-0000-00007E240000}"/>
    <cellStyle name="Normal 3 2 2 3 2 3 2 4 3" xfId="8830" xr:uid="{00000000-0005-0000-0000-00007F240000}"/>
    <cellStyle name="Normal 3 2 2 3 2 3 2 5" xfId="4163" xr:uid="{00000000-0005-0000-0000-000080240000}"/>
    <cellStyle name="Normal 3 2 2 3 2 3 2 5 2" xfId="9734" xr:uid="{00000000-0005-0000-0000-000081240000}"/>
    <cellStyle name="Normal 3 2 2 3 2 3 2 6" xfId="7076" xr:uid="{00000000-0005-0000-0000-000082240000}"/>
    <cellStyle name="Normal 3 2 2 3 2 3 3" xfId="1134" xr:uid="{00000000-0005-0000-0000-000083240000}"/>
    <cellStyle name="Normal 3 2 2 3 2 3 3 2" xfId="2186" xr:uid="{00000000-0005-0000-0000-000084240000}"/>
    <cellStyle name="Normal 3 2 2 3 2 3 3 2 2" xfId="5533" xr:uid="{00000000-0005-0000-0000-000085240000}"/>
    <cellStyle name="Normal 3 2 2 3 2 3 3 2 2 2" xfId="10847" xr:uid="{00000000-0005-0000-0000-000086240000}"/>
    <cellStyle name="Normal 3 2 2 3 2 3 3 2 3" xfId="8189" xr:uid="{00000000-0005-0000-0000-000087240000}"/>
    <cellStyle name="Normal 3 2 2 3 2 3 3 3" xfId="3107" xr:uid="{00000000-0005-0000-0000-000088240000}"/>
    <cellStyle name="Normal 3 2 2 3 2 3 3 3 2" xfId="6410" xr:uid="{00000000-0005-0000-0000-000089240000}"/>
    <cellStyle name="Normal 3 2 2 3 2 3 3 3 2 2" xfId="11724" xr:uid="{00000000-0005-0000-0000-00008A240000}"/>
    <cellStyle name="Normal 3 2 2 3 2 3 3 3 3" xfId="9066" xr:uid="{00000000-0005-0000-0000-00008B240000}"/>
    <cellStyle name="Normal 3 2 2 3 2 3 3 4" xfId="4526" xr:uid="{00000000-0005-0000-0000-00008C240000}"/>
    <cellStyle name="Normal 3 2 2 3 2 3 3 4 2" xfId="9970" xr:uid="{00000000-0005-0000-0000-00008D240000}"/>
    <cellStyle name="Normal 3 2 2 3 2 3 3 5" xfId="7312" xr:uid="{00000000-0005-0000-0000-00008E240000}"/>
    <cellStyle name="Normal 3 2 2 3 2 3 4" xfId="1748" xr:uid="{00000000-0005-0000-0000-00008F240000}"/>
    <cellStyle name="Normal 3 2 2 3 2 3 4 2" xfId="5097" xr:uid="{00000000-0005-0000-0000-000090240000}"/>
    <cellStyle name="Normal 3 2 2 3 2 3 4 2 2" xfId="10411" xr:uid="{00000000-0005-0000-0000-000091240000}"/>
    <cellStyle name="Normal 3 2 2 3 2 3 4 3" xfId="7753" xr:uid="{00000000-0005-0000-0000-000092240000}"/>
    <cellStyle name="Normal 3 2 2 3 2 3 5" xfId="2669" xr:uid="{00000000-0005-0000-0000-000093240000}"/>
    <cellStyle name="Normal 3 2 2 3 2 3 5 2" xfId="5974" xr:uid="{00000000-0005-0000-0000-000094240000}"/>
    <cellStyle name="Normal 3 2 2 3 2 3 5 2 2" xfId="11288" xr:uid="{00000000-0005-0000-0000-000095240000}"/>
    <cellStyle name="Normal 3 2 2 3 2 3 5 3" xfId="8630" xr:uid="{00000000-0005-0000-0000-000096240000}"/>
    <cellStyle name="Normal 3 2 2 3 2 3 6" xfId="3841" xr:uid="{00000000-0005-0000-0000-000097240000}"/>
    <cellStyle name="Normal 3 2 2 3 2 3 6 2" xfId="9534" xr:uid="{00000000-0005-0000-0000-000098240000}"/>
    <cellStyle name="Normal 3 2 2 3 2 3 7" xfId="6876" xr:uid="{00000000-0005-0000-0000-000099240000}"/>
    <cellStyle name="Normal 3 2 2 3 2 4" xfId="624" xr:uid="{00000000-0005-0000-0000-00009A240000}"/>
    <cellStyle name="Normal 3 2 2 3 2 4 2" xfId="845" xr:uid="{00000000-0005-0000-0000-00009B240000}"/>
    <cellStyle name="Normal 3 2 2 3 2 4 2 2" xfId="1530" xr:uid="{00000000-0005-0000-0000-00009C240000}"/>
    <cellStyle name="Normal 3 2 2 3 2 4 2 2 2" xfId="2452" xr:uid="{00000000-0005-0000-0000-00009D240000}"/>
    <cellStyle name="Normal 3 2 2 3 2 4 2 2 2 2" xfId="5799" xr:uid="{00000000-0005-0000-0000-00009E240000}"/>
    <cellStyle name="Normal 3 2 2 3 2 4 2 2 2 2 2" xfId="11113" xr:uid="{00000000-0005-0000-0000-00009F240000}"/>
    <cellStyle name="Normal 3 2 2 3 2 4 2 2 2 3" xfId="8455" xr:uid="{00000000-0005-0000-0000-0000A0240000}"/>
    <cellStyle name="Normal 3 2 2 3 2 4 2 2 3" xfId="3373" xr:uid="{00000000-0005-0000-0000-0000A1240000}"/>
    <cellStyle name="Normal 3 2 2 3 2 4 2 2 3 2" xfId="6676" xr:uid="{00000000-0005-0000-0000-0000A2240000}"/>
    <cellStyle name="Normal 3 2 2 3 2 4 2 2 3 2 2" xfId="11990" xr:uid="{00000000-0005-0000-0000-0000A3240000}"/>
    <cellStyle name="Normal 3 2 2 3 2 4 2 2 3 3" xfId="9332" xr:uid="{00000000-0005-0000-0000-0000A4240000}"/>
    <cellStyle name="Normal 3 2 2 3 2 4 2 2 4" xfId="4922" xr:uid="{00000000-0005-0000-0000-0000A5240000}"/>
    <cellStyle name="Normal 3 2 2 3 2 4 2 2 4 2" xfId="10236" xr:uid="{00000000-0005-0000-0000-0000A6240000}"/>
    <cellStyle name="Normal 3 2 2 3 2 4 2 2 5" xfId="7578" xr:uid="{00000000-0005-0000-0000-0000A7240000}"/>
    <cellStyle name="Normal 3 2 2 3 2 4 2 3" xfId="1535" xr:uid="{00000000-0005-0000-0000-0000A8240000}"/>
    <cellStyle name="Normal 3 2 2 3 2 4 2 3 2" xfId="2457" xr:uid="{00000000-0005-0000-0000-0000A9240000}"/>
    <cellStyle name="Normal 3 2 2 3 2 4 2 3 2 2" xfId="5804" xr:uid="{00000000-0005-0000-0000-0000AA240000}"/>
    <cellStyle name="Normal 3 2 2 3 2 4 2 3 2 2 2" xfId="11118" xr:uid="{00000000-0005-0000-0000-0000AB240000}"/>
    <cellStyle name="Normal 3 2 2 3 2 4 2 3 2 3" xfId="8460" xr:uid="{00000000-0005-0000-0000-0000AC240000}"/>
    <cellStyle name="Normal 3 2 2 3 2 4 2 3 3" xfId="3378" xr:uid="{00000000-0005-0000-0000-0000AD240000}"/>
    <cellStyle name="Normal 3 2 2 3 2 4 2 3 3 2" xfId="6681" xr:uid="{00000000-0005-0000-0000-0000AE240000}"/>
    <cellStyle name="Normal 3 2 2 3 2 4 2 3 3 2 2" xfId="11995" xr:uid="{00000000-0005-0000-0000-0000AF240000}"/>
    <cellStyle name="Normal 3 2 2 3 2 4 2 3 3 3" xfId="9337" xr:uid="{00000000-0005-0000-0000-0000B0240000}"/>
    <cellStyle name="Normal 3 2 2 3 2 4 2 3 4" xfId="3384" xr:uid="{00000000-0005-0000-0000-0000B1240000}"/>
    <cellStyle name="Normal 3 2 2 3 2 4 2 3 4 2" xfId="3385" xr:uid="{00000000-0005-0000-0000-0000B2240000}"/>
    <cellStyle name="Normal 3 2 2 3 2 4 2 3 4 2 2" xfId="6688" xr:uid="{00000000-0005-0000-0000-0000B3240000}"/>
    <cellStyle name="Normal 3 2 2 3 2 4 2 3 4 2 2 2" xfId="12002" xr:uid="{00000000-0005-0000-0000-0000B4240000}"/>
    <cellStyle name="Normal 3 2 2 3 2 4 2 3 4 2 3" xfId="9344" xr:uid="{00000000-0005-0000-0000-0000B5240000}"/>
    <cellStyle name="Normal 3 2 2 3 2 4 2 3 4 3" xfId="6687" xr:uid="{00000000-0005-0000-0000-0000B6240000}"/>
    <cellStyle name="Normal 3 2 2 3 2 4 2 3 4 3 2" xfId="12001" xr:uid="{00000000-0005-0000-0000-0000B7240000}"/>
    <cellStyle name="Normal 3 2 2 3 2 4 2 3 4 4" xfId="9343" xr:uid="{00000000-0005-0000-0000-0000B8240000}"/>
    <cellStyle name="Normal 3 2 2 3 2 4 2 3 5" xfId="4927" xr:uid="{00000000-0005-0000-0000-0000B9240000}"/>
    <cellStyle name="Normal 3 2 2 3 2 4 2 3 5 2" xfId="10241" xr:uid="{00000000-0005-0000-0000-0000BA240000}"/>
    <cellStyle name="Normal 3 2 2 3 2 4 2 3 6" xfId="7583" xr:uid="{00000000-0005-0000-0000-0000BB240000}"/>
    <cellStyle name="Normal 3 2 2 3 2 4 2 4" xfId="2016" xr:uid="{00000000-0005-0000-0000-0000BC240000}"/>
    <cellStyle name="Normal 3 2 2 3 2 4 2 4 2" xfId="5363" xr:uid="{00000000-0005-0000-0000-0000BD240000}"/>
    <cellStyle name="Normal 3 2 2 3 2 4 2 4 2 2" xfId="10677" xr:uid="{00000000-0005-0000-0000-0000BE240000}"/>
    <cellStyle name="Normal 3 2 2 3 2 4 2 4 3" xfId="8019" xr:uid="{00000000-0005-0000-0000-0000BF240000}"/>
    <cellStyle name="Normal 3 2 2 3 2 4 2 5" xfId="2937" xr:uid="{00000000-0005-0000-0000-0000C0240000}"/>
    <cellStyle name="Normal 3 2 2 3 2 4 2 5 2" xfId="6240" xr:uid="{00000000-0005-0000-0000-0000C1240000}"/>
    <cellStyle name="Normal 3 2 2 3 2 4 2 5 2 2" xfId="11554" xr:uid="{00000000-0005-0000-0000-0000C2240000}"/>
    <cellStyle name="Normal 3 2 2 3 2 4 2 5 3" xfId="8896" xr:uid="{00000000-0005-0000-0000-0000C3240000}"/>
    <cellStyle name="Normal 3 2 2 3 2 4 2 6" xfId="4237" xr:uid="{00000000-0005-0000-0000-0000C4240000}"/>
    <cellStyle name="Normal 3 2 2 3 2 4 2 6 2" xfId="9800" xr:uid="{00000000-0005-0000-0000-0000C5240000}"/>
    <cellStyle name="Normal 3 2 2 3 2 4 2 7" xfId="7142" xr:uid="{00000000-0005-0000-0000-0000C6240000}"/>
    <cellStyle name="Normal 3 2 2 3 2 4 3" xfId="1311" xr:uid="{00000000-0005-0000-0000-0000C7240000}"/>
    <cellStyle name="Normal 3 2 2 3 2 4 3 2" xfId="2301" xr:uid="{00000000-0005-0000-0000-0000C8240000}"/>
    <cellStyle name="Normal 3 2 2 3 2 4 3 2 2" xfId="5648" xr:uid="{00000000-0005-0000-0000-0000C9240000}"/>
    <cellStyle name="Normal 3 2 2 3 2 4 3 2 2 2" xfId="10962" xr:uid="{00000000-0005-0000-0000-0000CA240000}"/>
    <cellStyle name="Normal 3 2 2 3 2 4 3 2 3" xfId="8304" xr:uid="{00000000-0005-0000-0000-0000CB240000}"/>
    <cellStyle name="Normal 3 2 2 3 2 4 3 3" xfId="3222" xr:uid="{00000000-0005-0000-0000-0000CC240000}"/>
    <cellStyle name="Normal 3 2 2 3 2 4 3 3 2" xfId="6525" xr:uid="{00000000-0005-0000-0000-0000CD240000}"/>
    <cellStyle name="Normal 3 2 2 3 2 4 3 3 2 2" xfId="11839" xr:uid="{00000000-0005-0000-0000-0000CE240000}"/>
    <cellStyle name="Normal 3 2 2 3 2 4 3 3 3" xfId="9181" xr:uid="{00000000-0005-0000-0000-0000CF240000}"/>
    <cellStyle name="Normal 3 2 2 3 2 4 3 4" xfId="4703" xr:uid="{00000000-0005-0000-0000-0000D0240000}"/>
    <cellStyle name="Normal 3 2 2 3 2 4 3 4 2" xfId="10085" xr:uid="{00000000-0005-0000-0000-0000D1240000}"/>
    <cellStyle name="Normal 3 2 2 3 2 4 3 5" xfId="7427" xr:uid="{00000000-0005-0000-0000-0000D2240000}"/>
    <cellStyle name="Normal 3 2 2 3 2 4 4" xfId="1863" xr:uid="{00000000-0005-0000-0000-0000D3240000}"/>
    <cellStyle name="Normal 3 2 2 3 2 4 4 2" xfId="5212" xr:uid="{00000000-0005-0000-0000-0000D4240000}"/>
    <cellStyle name="Normal 3 2 2 3 2 4 4 2 2" xfId="10526" xr:uid="{00000000-0005-0000-0000-0000D5240000}"/>
    <cellStyle name="Normal 3 2 2 3 2 4 4 3" xfId="7868" xr:uid="{00000000-0005-0000-0000-0000D6240000}"/>
    <cellStyle name="Normal 3 2 2 3 2 4 5" xfId="2784" xr:uid="{00000000-0005-0000-0000-0000D7240000}"/>
    <cellStyle name="Normal 3 2 2 3 2 4 5 2" xfId="6089" xr:uid="{00000000-0005-0000-0000-0000D8240000}"/>
    <cellStyle name="Normal 3 2 2 3 2 4 5 2 2" xfId="11403" xr:uid="{00000000-0005-0000-0000-0000D9240000}"/>
    <cellStyle name="Normal 3 2 2 3 2 4 5 3" xfId="8745" xr:uid="{00000000-0005-0000-0000-0000DA240000}"/>
    <cellStyle name="Normal 3 2 2 3 2 4 6" xfId="4018" xr:uid="{00000000-0005-0000-0000-0000DB240000}"/>
    <cellStyle name="Normal 3 2 2 3 2 4 6 2" xfId="9649" xr:uid="{00000000-0005-0000-0000-0000DC240000}"/>
    <cellStyle name="Normal 3 2 2 3 2 4 7" xfId="6991" xr:uid="{00000000-0005-0000-0000-0000DD240000}"/>
    <cellStyle name="Normal 3 2 2 3 2 5" xfId="989" xr:uid="{00000000-0005-0000-0000-0000DE240000}"/>
    <cellStyle name="Normal 3 2 2 3 2 5 2" xfId="2101" xr:uid="{00000000-0005-0000-0000-0000DF240000}"/>
    <cellStyle name="Normal 3 2 2 3 2 5 2 2" xfId="5448" xr:uid="{00000000-0005-0000-0000-0000E0240000}"/>
    <cellStyle name="Normal 3 2 2 3 2 5 2 2 2" xfId="10762" xr:uid="{00000000-0005-0000-0000-0000E1240000}"/>
    <cellStyle name="Normal 3 2 2 3 2 5 2 3" xfId="8104" xr:uid="{00000000-0005-0000-0000-0000E2240000}"/>
    <cellStyle name="Normal 3 2 2 3 2 5 3" xfId="3022" xr:uid="{00000000-0005-0000-0000-0000E3240000}"/>
    <cellStyle name="Normal 3 2 2 3 2 5 3 2" xfId="6325" xr:uid="{00000000-0005-0000-0000-0000E4240000}"/>
    <cellStyle name="Normal 3 2 2 3 2 5 3 2 2" xfId="11639" xr:uid="{00000000-0005-0000-0000-0000E5240000}"/>
    <cellStyle name="Normal 3 2 2 3 2 5 3 3" xfId="8981" xr:uid="{00000000-0005-0000-0000-0000E6240000}"/>
    <cellStyle name="Normal 3 2 2 3 2 5 4" xfId="4381" xr:uid="{00000000-0005-0000-0000-0000E7240000}"/>
    <cellStyle name="Normal 3 2 2 3 2 5 4 2" xfId="9885" xr:uid="{00000000-0005-0000-0000-0000E8240000}"/>
    <cellStyle name="Normal 3 2 2 3 2 5 5" xfId="7227" xr:uid="{00000000-0005-0000-0000-0000E9240000}"/>
    <cellStyle name="Normal 3 2 2 3 2 6" xfId="1663" xr:uid="{00000000-0005-0000-0000-0000EA240000}"/>
    <cellStyle name="Normal 3 2 2 3 2 6 2" xfId="5012" xr:uid="{00000000-0005-0000-0000-0000EB240000}"/>
    <cellStyle name="Normal 3 2 2 3 2 6 2 2" xfId="10326" xr:uid="{00000000-0005-0000-0000-0000EC240000}"/>
    <cellStyle name="Normal 3 2 2 3 2 6 3" xfId="7668" xr:uid="{00000000-0005-0000-0000-0000ED240000}"/>
    <cellStyle name="Normal 3 2 2 3 2 7" xfId="2584" xr:uid="{00000000-0005-0000-0000-0000EE240000}"/>
    <cellStyle name="Normal 3 2 2 3 2 7 2" xfId="5889" xr:uid="{00000000-0005-0000-0000-0000EF240000}"/>
    <cellStyle name="Normal 3 2 2 3 2 7 2 2" xfId="11203" xr:uid="{00000000-0005-0000-0000-0000F0240000}"/>
    <cellStyle name="Normal 3 2 2 3 2 7 3" xfId="8545" xr:uid="{00000000-0005-0000-0000-0000F1240000}"/>
    <cellStyle name="Normal 3 2 2 3 2 8" xfId="3696" xr:uid="{00000000-0005-0000-0000-0000F2240000}"/>
    <cellStyle name="Normal 3 2 2 3 2 8 2" xfId="9449" xr:uid="{00000000-0005-0000-0000-0000F3240000}"/>
    <cellStyle name="Normal 3 2 2 3 2 9" xfId="6791" xr:uid="{00000000-0005-0000-0000-0000F4240000}"/>
    <cellStyle name="Normal 3 2 2 3 3" xfId="455" xr:uid="{00000000-0005-0000-0000-0000F5240000}"/>
    <cellStyle name="Normal 3 2 2 3 3 2" xfId="777" xr:uid="{00000000-0005-0000-0000-0000F6240000}"/>
    <cellStyle name="Normal 3 2 2 3 3 2 2" xfId="1464" xr:uid="{00000000-0005-0000-0000-0000F7240000}"/>
    <cellStyle name="Normal 3 2 2 3 3 2 2 2" xfId="2392" xr:uid="{00000000-0005-0000-0000-0000F8240000}"/>
    <cellStyle name="Normal 3 2 2 3 3 2 2 2 2" xfId="5739" xr:uid="{00000000-0005-0000-0000-0000F9240000}"/>
    <cellStyle name="Normal 3 2 2 3 3 2 2 2 2 2" xfId="11053" xr:uid="{00000000-0005-0000-0000-0000FA240000}"/>
    <cellStyle name="Normal 3 2 2 3 3 2 2 2 3" xfId="8395" xr:uid="{00000000-0005-0000-0000-0000FB240000}"/>
    <cellStyle name="Normal 3 2 2 3 3 2 2 3" xfId="3313" xr:uid="{00000000-0005-0000-0000-0000FC240000}"/>
    <cellStyle name="Normal 3 2 2 3 3 2 2 3 2" xfId="6616" xr:uid="{00000000-0005-0000-0000-0000FD240000}"/>
    <cellStyle name="Normal 3 2 2 3 3 2 2 3 2 2" xfId="11930" xr:uid="{00000000-0005-0000-0000-0000FE240000}"/>
    <cellStyle name="Normal 3 2 2 3 3 2 2 3 3" xfId="9272" xr:uid="{00000000-0005-0000-0000-0000FF240000}"/>
    <cellStyle name="Normal 3 2 2 3 3 2 2 4" xfId="4856" xr:uid="{00000000-0005-0000-0000-000000250000}"/>
    <cellStyle name="Normal 3 2 2 3 3 2 2 4 2" xfId="10176" xr:uid="{00000000-0005-0000-0000-000001250000}"/>
    <cellStyle name="Normal 3 2 2 3 3 2 2 5" xfId="7518" xr:uid="{00000000-0005-0000-0000-000002250000}"/>
    <cellStyle name="Normal 3 2 2 3 3 2 3" xfId="1954" xr:uid="{00000000-0005-0000-0000-000003250000}"/>
    <cellStyle name="Normal 3 2 2 3 3 2 3 2" xfId="5303" xr:uid="{00000000-0005-0000-0000-000004250000}"/>
    <cellStyle name="Normal 3 2 2 3 3 2 3 2 2" xfId="10617" xr:uid="{00000000-0005-0000-0000-000005250000}"/>
    <cellStyle name="Normal 3 2 2 3 3 2 3 3" xfId="7959" xr:uid="{00000000-0005-0000-0000-000006250000}"/>
    <cellStyle name="Normal 3 2 2 3 3 2 4" xfId="2875" xr:uid="{00000000-0005-0000-0000-000007250000}"/>
    <cellStyle name="Normal 3 2 2 3 3 2 4 2" xfId="6180" xr:uid="{00000000-0005-0000-0000-000008250000}"/>
    <cellStyle name="Normal 3 2 2 3 3 2 4 2 2" xfId="11494" xr:uid="{00000000-0005-0000-0000-000009250000}"/>
    <cellStyle name="Normal 3 2 2 3 3 2 4 3" xfId="8836" xr:uid="{00000000-0005-0000-0000-00000A250000}"/>
    <cellStyle name="Normal 3 2 2 3 3 2 5" xfId="4171" xr:uid="{00000000-0005-0000-0000-00000B250000}"/>
    <cellStyle name="Normal 3 2 2 3 3 2 5 2" xfId="9740" xr:uid="{00000000-0005-0000-0000-00000C250000}"/>
    <cellStyle name="Normal 3 2 2 3 3 2 6" xfId="7082" xr:uid="{00000000-0005-0000-0000-00000D250000}"/>
    <cellStyle name="Normal 3 2 2 3 3 3" xfId="1142" xr:uid="{00000000-0005-0000-0000-00000E250000}"/>
    <cellStyle name="Normal 3 2 2 3 3 3 2" xfId="2192" xr:uid="{00000000-0005-0000-0000-00000F250000}"/>
    <cellStyle name="Normal 3 2 2 3 3 3 2 2" xfId="5539" xr:uid="{00000000-0005-0000-0000-000010250000}"/>
    <cellStyle name="Normal 3 2 2 3 3 3 2 2 2" xfId="10853" xr:uid="{00000000-0005-0000-0000-000011250000}"/>
    <cellStyle name="Normal 3 2 2 3 3 3 2 3" xfId="8195" xr:uid="{00000000-0005-0000-0000-000012250000}"/>
    <cellStyle name="Normal 3 2 2 3 3 3 3" xfId="3113" xr:uid="{00000000-0005-0000-0000-000013250000}"/>
    <cellStyle name="Normal 3 2 2 3 3 3 3 2" xfId="6416" xr:uid="{00000000-0005-0000-0000-000014250000}"/>
    <cellStyle name="Normal 3 2 2 3 3 3 3 2 2" xfId="11730" xr:uid="{00000000-0005-0000-0000-000015250000}"/>
    <cellStyle name="Normal 3 2 2 3 3 3 3 3" xfId="9072" xr:uid="{00000000-0005-0000-0000-000016250000}"/>
    <cellStyle name="Normal 3 2 2 3 3 3 4" xfId="4534" xr:uid="{00000000-0005-0000-0000-000017250000}"/>
    <cellStyle name="Normal 3 2 2 3 3 3 4 2" xfId="9976" xr:uid="{00000000-0005-0000-0000-000018250000}"/>
    <cellStyle name="Normal 3 2 2 3 3 3 5" xfId="7318" xr:uid="{00000000-0005-0000-0000-000019250000}"/>
    <cellStyle name="Normal 3 2 2 3 3 4" xfId="1754" xr:uid="{00000000-0005-0000-0000-00001A250000}"/>
    <cellStyle name="Normal 3 2 2 3 3 4 2" xfId="5103" xr:uid="{00000000-0005-0000-0000-00001B250000}"/>
    <cellStyle name="Normal 3 2 2 3 3 4 2 2" xfId="10417" xr:uid="{00000000-0005-0000-0000-00001C250000}"/>
    <cellStyle name="Normal 3 2 2 3 3 4 3" xfId="7759" xr:uid="{00000000-0005-0000-0000-00001D250000}"/>
    <cellStyle name="Normal 3 2 2 3 3 5" xfId="2675" xr:uid="{00000000-0005-0000-0000-00001E250000}"/>
    <cellStyle name="Normal 3 2 2 3 3 5 2" xfId="5980" xr:uid="{00000000-0005-0000-0000-00001F250000}"/>
    <cellStyle name="Normal 3 2 2 3 3 5 2 2" xfId="11294" xr:uid="{00000000-0005-0000-0000-000020250000}"/>
    <cellStyle name="Normal 3 2 2 3 3 5 3" xfId="8636" xr:uid="{00000000-0005-0000-0000-000021250000}"/>
    <cellStyle name="Normal 3 2 2 3 3 6" xfId="3849" xr:uid="{00000000-0005-0000-0000-000022250000}"/>
    <cellStyle name="Normal 3 2 2 3 3 6 2" xfId="9540" xr:uid="{00000000-0005-0000-0000-000023250000}"/>
    <cellStyle name="Normal 3 2 2 3 3 7" xfId="6882" xr:uid="{00000000-0005-0000-0000-000024250000}"/>
    <cellStyle name="Normal 3 2 2 3 4" xfId="445" xr:uid="{00000000-0005-0000-0000-000025250000}"/>
    <cellStyle name="Normal 3 2 2 3 4 2" xfId="469" xr:uid="{00000000-0005-0000-0000-000026250000}"/>
    <cellStyle name="Normal 3 2 2 3 4 2 2" xfId="842" xr:uid="{00000000-0005-0000-0000-000027250000}"/>
    <cellStyle name="Normal 3 2 2 3 4 2 2 2" xfId="1527" xr:uid="{00000000-0005-0000-0000-000028250000}"/>
    <cellStyle name="Normal 3 2 2 3 4 2 2 2 2" xfId="2449" xr:uid="{00000000-0005-0000-0000-000029250000}"/>
    <cellStyle name="Normal 3 2 2 3 4 2 2 2 2 2" xfId="5796" xr:uid="{00000000-0005-0000-0000-00002A250000}"/>
    <cellStyle name="Normal 3 2 2 3 4 2 2 2 2 2 2" xfId="11110" xr:uid="{00000000-0005-0000-0000-00002B250000}"/>
    <cellStyle name="Normal 3 2 2 3 4 2 2 2 2 3" xfId="8452" xr:uid="{00000000-0005-0000-0000-00002C250000}"/>
    <cellStyle name="Normal 3 2 2 3 4 2 2 2 3" xfId="3370" xr:uid="{00000000-0005-0000-0000-00002D250000}"/>
    <cellStyle name="Normal 3 2 2 3 4 2 2 2 3 2" xfId="6673" xr:uid="{00000000-0005-0000-0000-00002E250000}"/>
    <cellStyle name="Normal 3 2 2 3 4 2 2 2 3 2 2" xfId="11987" xr:uid="{00000000-0005-0000-0000-00002F250000}"/>
    <cellStyle name="Normal 3 2 2 3 4 2 2 2 3 3" xfId="9329" xr:uid="{00000000-0005-0000-0000-000030250000}"/>
    <cellStyle name="Normal 3 2 2 3 4 2 2 2 4" xfId="4919" xr:uid="{00000000-0005-0000-0000-000031250000}"/>
    <cellStyle name="Normal 3 2 2 3 4 2 2 2 4 2" xfId="10233" xr:uid="{00000000-0005-0000-0000-000032250000}"/>
    <cellStyle name="Normal 3 2 2 3 4 2 2 2 5" xfId="7575" xr:uid="{00000000-0005-0000-0000-000033250000}"/>
    <cellStyle name="Normal 3 2 2 3 4 2 2 3" xfId="2013" xr:uid="{00000000-0005-0000-0000-000034250000}"/>
    <cellStyle name="Normal 3 2 2 3 4 2 2 3 2" xfId="5360" xr:uid="{00000000-0005-0000-0000-000035250000}"/>
    <cellStyle name="Normal 3 2 2 3 4 2 2 3 2 2" xfId="10674" xr:uid="{00000000-0005-0000-0000-000036250000}"/>
    <cellStyle name="Normal 3 2 2 3 4 2 2 3 3" xfId="8016" xr:uid="{00000000-0005-0000-0000-000037250000}"/>
    <cellStyle name="Normal 3 2 2 3 4 2 2 4" xfId="2934" xr:uid="{00000000-0005-0000-0000-000038250000}"/>
    <cellStyle name="Normal 3 2 2 3 4 2 2 4 2" xfId="6237" xr:uid="{00000000-0005-0000-0000-000039250000}"/>
    <cellStyle name="Normal 3 2 2 3 4 2 2 4 2 2" xfId="11551" xr:uid="{00000000-0005-0000-0000-00003A250000}"/>
    <cellStyle name="Normal 3 2 2 3 4 2 2 4 3" xfId="8893" xr:uid="{00000000-0005-0000-0000-00003B250000}"/>
    <cellStyle name="Normal 3 2 2 3 4 2 2 5" xfId="4234" xr:uid="{00000000-0005-0000-0000-00003C250000}"/>
    <cellStyle name="Normal 3 2 2 3 4 2 2 5 2" xfId="9797" xr:uid="{00000000-0005-0000-0000-00003D250000}"/>
    <cellStyle name="Normal 3 2 2 3 4 2 2 6" xfId="7139" xr:uid="{00000000-0005-0000-0000-00003E250000}"/>
    <cellStyle name="Normal 3 2 2 3 4 2 3" xfId="791" xr:uid="{00000000-0005-0000-0000-00003F250000}"/>
    <cellStyle name="Normal 3 2 2 3 4 2 3 2" xfId="1478" xr:uid="{00000000-0005-0000-0000-000040250000}"/>
    <cellStyle name="Normal 3 2 2 3 4 2 3 2 2" xfId="2406" xr:uid="{00000000-0005-0000-0000-000041250000}"/>
    <cellStyle name="Normal 3 2 2 3 4 2 3 2 2 2" xfId="5753" xr:uid="{00000000-0005-0000-0000-000042250000}"/>
    <cellStyle name="Normal 3 2 2 3 4 2 3 2 2 2 2" xfId="11067" xr:uid="{00000000-0005-0000-0000-000043250000}"/>
    <cellStyle name="Normal 3 2 2 3 4 2 3 2 2 3" xfId="8409" xr:uid="{00000000-0005-0000-0000-000044250000}"/>
    <cellStyle name="Normal 3 2 2 3 4 2 3 2 3" xfId="3327" xr:uid="{00000000-0005-0000-0000-000045250000}"/>
    <cellStyle name="Normal 3 2 2 3 4 2 3 2 3 2" xfId="6630" xr:uid="{00000000-0005-0000-0000-000046250000}"/>
    <cellStyle name="Normal 3 2 2 3 4 2 3 2 3 2 2" xfId="11944" xr:uid="{00000000-0005-0000-0000-000047250000}"/>
    <cellStyle name="Normal 3 2 2 3 4 2 3 2 3 3" xfId="9286" xr:uid="{00000000-0005-0000-0000-000048250000}"/>
    <cellStyle name="Normal 3 2 2 3 4 2 3 2 4" xfId="4870" xr:uid="{00000000-0005-0000-0000-000049250000}"/>
    <cellStyle name="Normal 3 2 2 3 4 2 3 2 4 2" xfId="10190" xr:uid="{00000000-0005-0000-0000-00004A250000}"/>
    <cellStyle name="Normal 3 2 2 3 4 2 3 2 5" xfId="7532" xr:uid="{00000000-0005-0000-0000-00004B250000}"/>
    <cellStyle name="Normal 3 2 2 3 4 2 3 3" xfId="1968" xr:uid="{00000000-0005-0000-0000-00004C250000}"/>
    <cellStyle name="Normal 3 2 2 3 4 2 3 3 2" xfId="5317" xr:uid="{00000000-0005-0000-0000-00004D250000}"/>
    <cellStyle name="Normal 3 2 2 3 4 2 3 3 2 2" xfId="10631" xr:uid="{00000000-0005-0000-0000-00004E250000}"/>
    <cellStyle name="Normal 3 2 2 3 4 2 3 3 3" xfId="7973" xr:uid="{00000000-0005-0000-0000-00004F250000}"/>
    <cellStyle name="Normal 3 2 2 3 4 2 3 4" xfId="2889" xr:uid="{00000000-0005-0000-0000-000050250000}"/>
    <cellStyle name="Normal 3 2 2 3 4 2 3 4 2" xfId="6194" xr:uid="{00000000-0005-0000-0000-000051250000}"/>
    <cellStyle name="Normal 3 2 2 3 4 2 3 4 2 2" xfId="11508" xr:uid="{00000000-0005-0000-0000-000052250000}"/>
    <cellStyle name="Normal 3 2 2 3 4 2 3 4 3" xfId="8850" xr:uid="{00000000-0005-0000-0000-000053250000}"/>
    <cellStyle name="Normal 3 2 2 3 4 2 3 5" xfId="4185" xr:uid="{00000000-0005-0000-0000-000054250000}"/>
    <cellStyle name="Normal 3 2 2 3 4 2 3 5 2" xfId="9754" xr:uid="{00000000-0005-0000-0000-000055250000}"/>
    <cellStyle name="Normal 3 2 2 3 4 2 3 6" xfId="7096" xr:uid="{00000000-0005-0000-0000-000056250000}"/>
    <cellStyle name="Normal 3 2 2 3 4 2 4" xfId="1156" xr:uid="{00000000-0005-0000-0000-000057250000}"/>
    <cellStyle name="Normal 3 2 2 3 4 2 4 2" xfId="2206" xr:uid="{00000000-0005-0000-0000-000058250000}"/>
    <cellStyle name="Normal 3 2 2 3 4 2 4 2 2" xfId="5553" xr:uid="{00000000-0005-0000-0000-000059250000}"/>
    <cellStyle name="Normal 3 2 2 3 4 2 4 2 2 2" xfId="10867" xr:uid="{00000000-0005-0000-0000-00005A250000}"/>
    <cellStyle name="Normal 3 2 2 3 4 2 4 2 3" xfId="8209" xr:uid="{00000000-0005-0000-0000-00005B250000}"/>
    <cellStyle name="Normal 3 2 2 3 4 2 4 3" xfId="3127" xr:uid="{00000000-0005-0000-0000-00005C250000}"/>
    <cellStyle name="Normal 3 2 2 3 4 2 4 3 2" xfId="6430" xr:uid="{00000000-0005-0000-0000-00005D250000}"/>
    <cellStyle name="Normal 3 2 2 3 4 2 4 3 2 2" xfId="11744" xr:uid="{00000000-0005-0000-0000-00005E250000}"/>
    <cellStyle name="Normal 3 2 2 3 4 2 4 3 3" xfId="9086" xr:uid="{00000000-0005-0000-0000-00005F250000}"/>
    <cellStyle name="Normal 3 2 2 3 4 2 4 4" xfId="4548" xr:uid="{00000000-0005-0000-0000-000060250000}"/>
    <cellStyle name="Normal 3 2 2 3 4 2 4 4 2" xfId="9990" xr:uid="{00000000-0005-0000-0000-000061250000}"/>
    <cellStyle name="Normal 3 2 2 3 4 2 4 5" xfId="7332" xr:uid="{00000000-0005-0000-0000-000062250000}"/>
    <cellStyle name="Normal 3 2 2 3 4 2 5" xfId="1768" xr:uid="{00000000-0005-0000-0000-000063250000}"/>
    <cellStyle name="Normal 3 2 2 3 4 2 5 2" xfId="5117" xr:uid="{00000000-0005-0000-0000-000064250000}"/>
    <cellStyle name="Normal 3 2 2 3 4 2 5 2 2" xfId="10431" xr:uid="{00000000-0005-0000-0000-000065250000}"/>
    <cellStyle name="Normal 3 2 2 3 4 2 5 3" xfId="7773" xr:uid="{00000000-0005-0000-0000-000066250000}"/>
    <cellStyle name="Normal 3 2 2 3 4 2 6" xfId="2689" xr:uid="{00000000-0005-0000-0000-000067250000}"/>
    <cellStyle name="Normal 3 2 2 3 4 2 6 2" xfId="5994" xr:uid="{00000000-0005-0000-0000-000068250000}"/>
    <cellStyle name="Normal 3 2 2 3 4 2 6 2 2" xfId="11308" xr:uid="{00000000-0005-0000-0000-000069250000}"/>
    <cellStyle name="Normal 3 2 2 3 4 2 6 3" xfId="8650" xr:uid="{00000000-0005-0000-0000-00006A250000}"/>
    <cellStyle name="Normal 3 2 2 3 4 2 7" xfId="3863" xr:uid="{00000000-0005-0000-0000-00006B250000}"/>
    <cellStyle name="Normal 3 2 2 3 4 2 7 2" xfId="9554" xr:uid="{00000000-0005-0000-0000-00006C250000}"/>
    <cellStyle name="Normal 3 2 2 3 4 2 8" xfId="6896" xr:uid="{00000000-0005-0000-0000-00006D250000}"/>
    <cellStyle name="Normal 3 2 2 3 4 3" xfId="768" xr:uid="{00000000-0005-0000-0000-00006E250000}"/>
    <cellStyle name="Normal 3 2 2 3 4 3 2" xfId="1455" xr:uid="{00000000-0005-0000-0000-00006F250000}"/>
    <cellStyle name="Normal 3 2 2 3 4 3 2 2" xfId="2385" xr:uid="{00000000-0005-0000-0000-000070250000}"/>
    <cellStyle name="Normal 3 2 2 3 4 3 2 2 2" xfId="5732" xr:uid="{00000000-0005-0000-0000-000071250000}"/>
    <cellStyle name="Normal 3 2 2 3 4 3 2 2 2 2" xfId="11046" xr:uid="{00000000-0005-0000-0000-000072250000}"/>
    <cellStyle name="Normal 3 2 2 3 4 3 2 2 3" xfId="8388" xr:uid="{00000000-0005-0000-0000-000073250000}"/>
    <cellStyle name="Normal 3 2 2 3 4 3 2 3" xfId="3306" xr:uid="{00000000-0005-0000-0000-000074250000}"/>
    <cellStyle name="Normal 3 2 2 3 4 3 2 3 2" xfId="6609" xr:uid="{00000000-0005-0000-0000-000075250000}"/>
    <cellStyle name="Normal 3 2 2 3 4 3 2 3 2 2" xfId="11923" xr:uid="{00000000-0005-0000-0000-000076250000}"/>
    <cellStyle name="Normal 3 2 2 3 4 3 2 3 3" xfId="9265" xr:uid="{00000000-0005-0000-0000-000077250000}"/>
    <cellStyle name="Normal 3 2 2 3 4 3 2 4" xfId="4847" xr:uid="{00000000-0005-0000-0000-000078250000}"/>
    <cellStyle name="Normal 3 2 2 3 4 3 2 4 2" xfId="10169" xr:uid="{00000000-0005-0000-0000-000079250000}"/>
    <cellStyle name="Normal 3 2 2 3 4 3 2 5" xfId="7511" xr:uid="{00000000-0005-0000-0000-00007A250000}"/>
    <cellStyle name="Normal 3 2 2 3 4 3 3" xfId="1947" xr:uid="{00000000-0005-0000-0000-00007B250000}"/>
    <cellStyle name="Normal 3 2 2 3 4 3 3 2" xfId="5296" xr:uid="{00000000-0005-0000-0000-00007C250000}"/>
    <cellStyle name="Normal 3 2 2 3 4 3 3 2 2" xfId="10610" xr:uid="{00000000-0005-0000-0000-00007D250000}"/>
    <cellStyle name="Normal 3 2 2 3 4 3 3 3" xfId="7952" xr:uid="{00000000-0005-0000-0000-00007E250000}"/>
    <cellStyle name="Normal 3 2 2 3 4 3 4" xfId="2868" xr:uid="{00000000-0005-0000-0000-00007F250000}"/>
    <cellStyle name="Normal 3 2 2 3 4 3 4 2" xfId="6173" xr:uid="{00000000-0005-0000-0000-000080250000}"/>
    <cellStyle name="Normal 3 2 2 3 4 3 4 2 2" xfId="11487" xr:uid="{00000000-0005-0000-0000-000081250000}"/>
    <cellStyle name="Normal 3 2 2 3 4 3 4 3" xfId="8829" xr:uid="{00000000-0005-0000-0000-000082250000}"/>
    <cellStyle name="Normal 3 2 2 3 4 3 5" xfId="4162" xr:uid="{00000000-0005-0000-0000-000083250000}"/>
    <cellStyle name="Normal 3 2 2 3 4 3 5 2" xfId="9733" xr:uid="{00000000-0005-0000-0000-000084250000}"/>
    <cellStyle name="Normal 3 2 2 3 4 3 6" xfId="7075" xr:uid="{00000000-0005-0000-0000-000085250000}"/>
    <cellStyle name="Normal 3 2 2 3 4 4" xfId="1133" xr:uid="{00000000-0005-0000-0000-000086250000}"/>
    <cellStyle name="Normal 3 2 2 3 4 4 2" xfId="2185" xr:uid="{00000000-0005-0000-0000-000087250000}"/>
    <cellStyle name="Normal 3 2 2 3 4 4 2 2" xfId="5532" xr:uid="{00000000-0005-0000-0000-000088250000}"/>
    <cellStyle name="Normal 3 2 2 3 4 4 2 2 2" xfId="10846" xr:uid="{00000000-0005-0000-0000-000089250000}"/>
    <cellStyle name="Normal 3 2 2 3 4 4 2 3" xfId="8188" xr:uid="{00000000-0005-0000-0000-00008A250000}"/>
    <cellStyle name="Normal 3 2 2 3 4 4 3" xfId="3106" xr:uid="{00000000-0005-0000-0000-00008B250000}"/>
    <cellStyle name="Normal 3 2 2 3 4 4 3 2" xfId="6409" xr:uid="{00000000-0005-0000-0000-00008C250000}"/>
    <cellStyle name="Normal 3 2 2 3 4 4 3 2 2" xfId="11723" xr:uid="{00000000-0005-0000-0000-00008D250000}"/>
    <cellStyle name="Normal 3 2 2 3 4 4 3 3" xfId="9065" xr:uid="{00000000-0005-0000-0000-00008E250000}"/>
    <cellStyle name="Normal 3 2 2 3 4 4 4" xfId="4525" xr:uid="{00000000-0005-0000-0000-00008F250000}"/>
    <cellStyle name="Normal 3 2 2 3 4 4 4 2" xfId="9969" xr:uid="{00000000-0005-0000-0000-000090250000}"/>
    <cellStyle name="Normal 3 2 2 3 4 4 5" xfId="7311" xr:uid="{00000000-0005-0000-0000-000091250000}"/>
    <cellStyle name="Normal 3 2 2 3 4 5" xfId="1747" xr:uid="{00000000-0005-0000-0000-000092250000}"/>
    <cellStyle name="Normal 3 2 2 3 4 5 2" xfId="5096" xr:uid="{00000000-0005-0000-0000-000093250000}"/>
    <cellStyle name="Normal 3 2 2 3 4 5 2 2" xfId="10410" xr:uid="{00000000-0005-0000-0000-000094250000}"/>
    <cellStyle name="Normal 3 2 2 3 4 5 3" xfId="7752" xr:uid="{00000000-0005-0000-0000-000095250000}"/>
    <cellStyle name="Normal 3 2 2 3 4 6" xfId="2668" xr:uid="{00000000-0005-0000-0000-000096250000}"/>
    <cellStyle name="Normal 3 2 2 3 4 6 2" xfId="5973" xr:uid="{00000000-0005-0000-0000-000097250000}"/>
    <cellStyle name="Normal 3 2 2 3 4 6 2 2" xfId="11287" xr:uid="{00000000-0005-0000-0000-000098250000}"/>
    <cellStyle name="Normal 3 2 2 3 4 6 3" xfId="8629" xr:uid="{00000000-0005-0000-0000-000099250000}"/>
    <cellStyle name="Normal 3 2 2 3 4 7" xfId="3840" xr:uid="{00000000-0005-0000-0000-00009A250000}"/>
    <cellStyle name="Normal 3 2 2 3 4 7 2" xfId="9533" xr:uid="{00000000-0005-0000-0000-00009B250000}"/>
    <cellStyle name="Normal 3 2 2 3 4 8" xfId="6875" xr:uid="{00000000-0005-0000-0000-00009C250000}"/>
    <cellStyle name="Normal 3 2 2 3 5" xfId="619" xr:uid="{00000000-0005-0000-0000-00009D250000}"/>
    <cellStyle name="Normal 3 2 2 3 5 2" xfId="1306" xr:uid="{00000000-0005-0000-0000-00009E250000}"/>
    <cellStyle name="Normal 3 2 2 3 5 2 2" xfId="2296" xr:uid="{00000000-0005-0000-0000-00009F250000}"/>
    <cellStyle name="Normal 3 2 2 3 5 2 2 2" xfId="5643" xr:uid="{00000000-0005-0000-0000-0000A0250000}"/>
    <cellStyle name="Normal 3 2 2 3 5 2 2 2 2" xfId="10957" xr:uid="{00000000-0005-0000-0000-0000A1250000}"/>
    <cellStyle name="Normal 3 2 2 3 5 2 2 3" xfId="8299" xr:uid="{00000000-0005-0000-0000-0000A2250000}"/>
    <cellStyle name="Normal 3 2 2 3 5 2 3" xfId="3217" xr:uid="{00000000-0005-0000-0000-0000A3250000}"/>
    <cellStyle name="Normal 3 2 2 3 5 2 3 2" xfId="6520" xr:uid="{00000000-0005-0000-0000-0000A4250000}"/>
    <cellStyle name="Normal 3 2 2 3 5 2 3 2 2" xfId="11834" xr:uid="{00000000-0005-0000-0000-0000A5250000}"/>
    <cellStyle name="Normal 3 2 2 3 5 2 3 3" xfId="9176" xr:uid="{00000000-0005-0000-0000-0000A6250000}"/>
    <cellStyle name="Normal 3 2 2 3 5 2 4" xfId="4698" xr:uid="{00000000-0005-0000-0000-0000A7250000}"/>
    <cellStyle name="Normal 3 2 2 3 5 2 4 2" xfId="10080" xr:uid="{00000000-0005-0000-0000-0000A8250000}"/>
    <cellStyle name="Normal 3 2 2 3 5 2 5" xfId="7422" xr:uid="{00000000-0005-0000-0000-0000A9250000}"/>
    <cellStyle name="Normal 3 2 2 3 5 3" xfId="1858" xr:uid="{00000000-0005-0000-0000-0000AA250000}"/>
    <cellStyle name="Normal 3 2 2 3 5 3 2" xfId="5207" xr:uid="{00000000-0005-0000-0000-0000AB250000}"/>
    <cellStyle name="Normal 3 2 2 3 5 3 2 2" xfId="10521" xr:uid="{00000000-0005-0000-0000-0000AC250000}"/>
    <cellStyle name="Normal 3 2 2 3 5 3 3" xfId="7863" xr:uid="{00000000-0005-0000-0000-0000AD250000}"/>
    <cellStyle name="Normal 3 2 2 3 5 4" xfId="2779" xr:uid="{00000000-0005-0000-0000-0000AE250000}"/>
    <cellStyle name="Normal 3 2 2 3 5 4 2" xfId="6084" xr:uid="{00000000-0005-0000-0000-0000AF250000}"/>
    <cellStyle name="Normal 3 2 2 3 5 4 2 2" xfId="11398" xr:uid="{00000000-0005-0000-0000-0000B0250000}"/>
    <cellStyle name="Normal 3 2 2 3 5 4 3" xfId="8740" xr:uid="{00000000-0005-0000-0000-0000B1250000}"/>
    <cellStyle name="Normal 3 2 2 3 5 5" xfId="4013" xr:uid="{00000000-0005-0000-0000-0000B2250000}"/>
    <cellStyle name="Normal 3 2 2 3 5 5 2" xfId="9644" xr:uid="{00000000-0005-0000-0000-0000B3250000}"/>
    <cellStyle name="Normal 3 2 2 3 5 6" xfId="6986" xr:uid="{00000000-0005-0000-0000-0000B4250000}"/>
    <cellStyle name="Normal 3 2 2 3 6" xfId="984" xr:uid="{00000000-0005-0000-0000-0000B5250000}"/>
    <cellStyle name="Normal 3 2 2 3 6 2" xfId="2096" xr:uid="{00000000-0005-0000-0000-0000B6250000}"/>
    <cellStyle name="Normal 3 2 2 3 6 2 2" xfId="5443" xr:uid="{00000000-0005-0000-0000-0000B7250000}"/>
    <cellStyle name="Normal 3 2 2 3 6 2 2 2" xfId="10757" xr:uid="{00000000-0005-0000-0000-0000B8250000}"/>
    <cellStyle name="Normal 3 2 2 3 6 2 3" xfId="8099" xr:uid="{00000000-0005-0000-0000-0000B9250000}"/>
    <cellStyle name="Normal 3 2 2 3 6 3" xfId="3017" xr:uid="{00000000-0005-0000-0000-0000BA250000}"/>
    <cellStyle name="Normal 3 2 2 3 6 3 2" xfId="6320" xr:uid="{00000000-0005-0000-0000-0000BB250000}"/>
    <cellStyle name="Normal 3 2 2 3 6 3 2 2" xfId="11634" xr:uid="{00000000-0005-0000-0000-0000BC250000}"/>
    <cellStyle name="Normal 3 2 2 3 6 3 3" xfId="8976" xr:uid="{00000000-0005-0000-0000-0000BD250000}"/>
    <cellStyle name="Normal 3 2 2 3 6 4" xfId="4376" xr:uid="{00000000-0005-0000-0000-0000BE250000}"/>
    <cellStyle name="Normal 3 2 2 3 6 4 2" xfId="9880" xr:uid="{00000000-0005-0000-0000-0000BF250000}"/>
    <cellStyle name="Normal 3 2 2 3 6 5" xfId="7222" xr:uid="{00000000-0005-0000-0000-0000C0250000}"/>
    <cellStyle name="Normal 3 2 2 3 7" xfId="1658" xr:uid="{00000000-0005-0000-0000-0000C1250000}"/>
    <cellStyle name="Normal 3 2 2 3 7 2" xfId="5007" xr:uid="{00000000-0005-0000-0000-0000C2250000}"/>
    <cellStyle name="Normal 3 2 2 3 7 2 2" xfId="10321" xr:uid="{00000000-0005-0000-0000-0000C3250000}"/>
    <cellStyle name="Normal 3 2 2 3 7 3" xfId="7663" xr:uid="{00000000-0005-0000-0000-0000C4250000}"/>
    <cellStyle name="Normal 3 2 2 3 8" xfId="2579" xr:uid="{00000000-0005-0000-0000-0000C5250000}"/>
    <cellStyle name="Normal 3 2 2 3 8 2" xfId="5884" xr:uid="{00000000-0005-0000-0000-0000C6250000}"/>
    <cellStyle name="Normal 3 2 2 3 8 2 2" xfId="11198" xr:uid="{00000000-0005-0000-0000-0000C7250000}"/>
    <cellStyle name="Normal 3 2 2 3 8 3" xfId="8540" xr:uid="{00000000-0005-0000-0000-0000C8250000}"/>
    <cellStyle name="Normal 3 2 2 3 9" xfId="3691" xr:uid="{00000000-0005-0000-0000-0000C9250000}"/>
    <cellStyle name="Normal 3 2 2 3 9 2" xfId="9444" xr:uid="{00000000-0005-0000-0000-0000CA250000}"/>
    <cellStyle name="Normal 3 2 2 4" xfId="302" xr:uid="{00000000-0005-0000-0000-0000CB250000}"/>
    <cellStyle name="Normal 3 2 2 4 2" xfId="466" xr:uid="{00000000-0005-0000-0000-0000CC250000}"/>
    <cellStyle name="Normal 3 2 2 4 2 2" xfId="470" xr:uid="{00000000-0005-0000-0000-0000CD250000}"/>
    <cellStyle name="Normal 3 2 2 4 2 2 2" xfId="840" xr:uid="{00000000-0005-0000-0000-0000CE250000}"/>
    <cellStyle name="Normal 3 2 2 4 2 2 2 2" xfId="1525" xr:uid="{00000000-0005-0000-0000-0000CF250000}"/>
    <cellStyle name="Normal 3 2 2 4 2 2 2 2 2" xfId="2447" xr:uid="{00000000-0005-0000-0000-0000D0250000}"/>
    <cellStyle name="Normal 3 2 2 4 2 2 2 2 2 2" xfId="5794" xr:uid="{00000000-0005-0000-0000-0000D1250000}"/>
    <cellStyle name="Normal 3 2 2 4 2 2 2 2 2 2 2" xfId="11108" xr:uid="{00000000-0005-0000-0000-0000D2250000}"/>
    <cellStyle name="Normal 3 2 2 4 2 2 2 2 2 3" xfId="8450" xr:uid="{00000000-0005-0000-0000-0000D3250000}"/>
    <cellStyle name="Normal 3 2 2 4 2 2 2 2 3" xfId="3368" xr:uid="{00000000-0005-0000-0000-0000D4250000}"/>
    <cellStyle name="Normal 3 2 2 4 2 2 2 2 3 2" xfId="6671" xr:uid="{00000000-0005-0000-0000-0000D5250000}"/>
    <cellStyle name="Normal 3 2 2 4 2 2 2 2 3 2 2" xfId="11985" xr:uid="{00000000-0005-0000-0000-0000D6250000}"/>
    <cellStyle name="Normal 3 2 2 4 2 2 2 2 3 3" xfId="9327" xr:uid="{00000000-0005-0000-0000-0000D7250000}"/>
    <cellStyle name="Normal 3 2 2 4 2 2 2 2 4" xfId="4917" xr:uid="{00000000-0005-0000-0000-0000D8250000}"/>
    <cellStyle name="Normal 3 2 2 4 2 2 2 2 4 2" xfId="10231" xr:uid="{00000000-0005-0000-0000-0000D9250000}"/>
    <cellStyle name="Normal 3 2 2 4 2 2 2 2 5" xfId="7573" xr:uid="{00000000-0005-0000-0000-0000DA250000}"/>
    <cellStyle name="Normal 3 2 2 4 2 2 2 3" xfId="2011" xr:uid="{00000000-0005-0000-0000-0000DB250000}"/>
    <cellStyle name="Normal 3 2 2 4 2 2 2 3 2" xfId="5358" xr:uid="{00000000-0005-0000-0000-0000DC250000}"/>
    <cellStyle name="Normal 3 2 2 4 2 2 2 3 2 2" xfId="10672" xr:uid="{00000000-0005-0000-0000-0000DD250000}"/>
    <cellStyle name="Normal 3 2 2 4 2 2 2 3 3" xfId="8014" xr:uid="{00000000-0005-0000-0000-0000DE250000}"/>
    <cellStyle name="Normal 3 2 2 4 2 2 2 4" xfId="2932" xr:uid="{00000000-0005-0000-0000-0000DF250000}"/>
    <cellStyle name="Normal 3 2 2 4 2 2 2 4 2" xfId="6235" xr:uid="{00000000-0005-0000-0000-0000E0250000}"/>
    <cellStyle name="Normal 3 2 2 4 2 2 2 4 2 2" xfId="11549" xr:uid="{00000000-0005-0000-0000-0000E1250000}"/>
    <cellStyle name="Normal 3 2 2 4 2 2 2 4 3" xfId="8891" xr:uid="{00000000-0005-0000-0000-0000E2250000}"/>
    <cellStyle name="Normal 3 2 2 4 2 2 2 5" xfId="4232" xr:uid="{00000000-0005-0000-0000-0000E3250000}"/>
    <cellStyle name="Normal 3 2 2 4 2 2 2 5 2" xfId="9795" xr:uid="{00000000-0005-0000-0000-0000E4250000}"/>
    <cellStyle name="Normal 3 2 2 4 2 2 2 6" xfId="7137" xr:uid="{00000000-0005-0000-0000-0000E5250000}"/>
    <cellStyle name="Normal 3 2 2 4 2 2 3" xfId="792" xr:uid="{00000000-0005-0000-0000-0000E6250000}"/>
    <cellStyle name="Normal 3 2 2 4 2 2 3 2" xfId="1479" xr:uid="{00000000-0005-0000-0000-0000E7250000}"/>
    <cellStyle name="Normal 3 2 2 4 2 2 3 2 2" xfId="2407" xr:uid="{00000000-0005-0000-0000-0000E8250000}"/>
    <cellStyle name="Normal 3 2 2 4 2 2 3 2 2 2" xfId="5754" xr:uid="{00000000-0005-0000-0000-0000E9250000}"/>
    <cellStyle name="Normal 3 2 2 4 2 2 3 2 2 2 2" xfId="11068" xr:uid="{00000000-0005-0000-0000-0000EA250000}"/>
    <cellStyle name="Normal 3 2 2 4 2 2 3 2 2 3" xfId="8410" xr:uid="{00000000-0005-0000-0000-0000EB250000}"/>
    <cellStyle name="Normal 3 2 2 4 2 2 3 2 2 3 2" xfId="3382" xr:uid="{00000000-0005-0000-0000-0000EC250000}"/>
    <cellStyle name="Normal 3 2 2 4 2 2 3 2 2 3 2 2" xfId="3387" xr:uid="{00000000-0005-0000-0000-0000ED250000}"/>
    <cellStyle name="Normal 3 2 2 4 2 2 3 2 2 3 2 2 2" xfId="6690" xr:uid="{00000000-0005-0000-0000-0000EE250000}"/>
    <cellStyle name="Normal 3 2 2 4 2 2 3 2 2 3 2 2 2 2" xfId="12004" xr:uid="{00000000-0005-0000-0000-0000EF250000}"/>
    <cellStyle name="Normal 3 2 2 4 2 2 3 2 2 3 2 2 3" xfId="9346" xr:uid="{00000000-0005-0000-0000-0000F0250000}"/>
    <cellStyle name="Normal 3 2 2 4 2 2 3 2 2 3 2 3" xfId="6685" xr:uid="{00000000-0005-0000-0000-0000F1250000}"/>
    <cellStyle name="Normal 3 2 2 4 2 2 3 2 2 3 2 3 2" xfId="11999" xr:uid="{00000000-0005-0000-0000-0000F2250000}"/>
    <cellStyle name="Normal 3 2 2 4 2 2 3 2 2 3 2 4" xfId="9341" xr:uid="{00000000-0005-0000-0000-0000F3250000}"/>
    <cellStyle name="Normal 3 2 2 4 2 2 3 2 3" xfId="3328" xr:uid="{00000000-0005-0000-0000-0000F4250000}"/>
    <cellStyle name="Normal 3 2 2 4 2 2 3 2 3 2" xfId="6631" xr:uid="{00000000-0005-0000-0000-0000F5250000}"/>
    <cellStyle name="Normal 3 2 2 4 2 2 3 2 3 2 2" xfId="11945" xr:uid="{00000000-0005-0000-0000-0000F6250000}"/>
    <cellStyle name="Normal 3 2 2 4 2 2 3 2 3 3" xfId="9287" xr:uid="{00000000-0005-0000-0000-0000F7250000}"/>
    <cellStyle name="Normal 3 2 2 4 2 2 3 2 4" xfId="4871" xr:uid="{00000000-0005-0000-0000-0000F8250000}"/>
    <cellStyle name="Normal 3 2 2 4 2 2 3 2 4 2" xfId="10191" xr:uid="{00000000-0005-0000-0000-0000F9250000}"/>
    <cellStyle name="Normal 3 2 2 4 2 2 3 2 5" xfId="7533" xr:uid="{00000000-0005-0000-0000-0000FA250000}"/>
    <cellStyle name="Normal 3 2 2 4 2 2 3 3" xfId="1969" xr:uid="{00000000-0005-0000-0000-0000FB250000}"/>
    <cellStyle name="Normal 3 2 2 4 2 2 3 3 2" xfId="5318" xr:uid="{00000000-0005-0000-0000-0000FC250000}"/>
    <cellStyle name="Normal 3 2 2 4 2 2 3 3 2 2" xfId="10632" xr:uid="{00000000-0005-0000-0000-0000FD250000}"/>
    <cellStyle name="Normal 3 2 2 4 2 2 3 3 3" xfId="7974" xr:uid="{00000000-0005-0000-0000-0000FE250000}"/>
    <cellStyle name="Normal 3 2 2 4 2 2 3 4" xfId="2890" xr:uid="{00000000-0005-0000-0000-0000FF250000}"/>
    <cellStyle name="Normal 3 2 2 4 2 2 3 4 2" xfId="6195" xr:uid="{00000000-0005-0000-0000-000000260000}"/>
    <cellStyle name="Normal 3 2 2 4 2 2 3 4 2 2" xfId="11509" xr:uid="{00000000-0005-0000-0000-000001260000}"/>
    <cellStyle name="Normal 3 2 2 4 2 2 3 4 3" xfId="8851" xr:uid="{00000000-0005-0000-0000-000002260000}"/>
    <cellStyle name="Normal 3 2 2 4 2 2 3 5" xfId="4186" xr:uid="{00000000-0005-0000-0000-000003260000}"/>
    <cellStyle name="Normal 3 2 2 4 2 2 3 5 2" xfId="9755" xr:uid="{00000000-0005-0000-0000-000004260000}"/>
    <cellStyle name="Normal 3 2 2 4 2 2 3 6" xfId="7097" xr:uid="{00000000-0005-0000-0000-000005260000}"/>
    <cellStyle name="Normal 3 2 2 4 2 2 4" xfId="1157" xr:uid="{00000000-0005-0000-0000-000006260000}"/>
    <cellStyle name="Normal 3 2 2 4 2 2 4 2" xfId="2207" xr:uid="{00000000-0005-0000-0000-000007260000}"/>
    <cellStyle name="Normal 3 2 2 4 2 2 4 2 2" xfId="5554" xr:uid="{00000000-0005-0000-0000-000008260000}"/>
    <cellStyle name="Normal 3 2 2 4 2 2 4 2 2 2" xfId="10868" xr:uid="{00000000-0005-0000-0000-000009260000}"/>
    <cellStyle name="Normal 3 2 2 4 2 2 4 2 3" xfId="8210" xr:uid="{00000000-0005-0000-0000-00000A260000}"/>
    <cellStyle name="Normal 3 2 2 4 2 2 4 3" xfId="3128" xr:uid="{00000000-0005-0000-0000-00000B260000}"/>
    <cellStyle name="Normal 3 2 2 4 2 2 4 3 2" xfId="6431" xr:uid="{00000000-0005-0000-0000-00000C260000}"/>
    <cellStyle name="Normal 3 2 2 4 2 2 4 3 2 2" xfId="11745" xr:uid="{00000000-0005-0000-0000-00000D260000}"/>
    <cellStyle name="Normal 3 2 2 4 2 2 4 3 3" xfId="9087" xr:uid="{00000000-0005-0000-0000-00000E260000}"/>
    <cellStyle name="Normal 3 2 2 4 2 2 4 4" xfId="4549" xr:uid="{00000000-0005-0000-0000-00000F260000}"/>
    <cellStyle name="Normal 3 2 2 4 2 2 4 4 2" xfId="9991" xr:uid="{00000000-0005-0000-0000-000010260000}"/>
    <cellStyle name="Normal 3 2 2 4 2 2 4 5" xfId="7333" xr:uid="{00000000-0005-0000-0000-000011260000}"/>
    <cellStyle name="Normal 3 2 2 4 2 2 5" xfId="1769" xr:uid="{00000000-0005-0000-0000-000012260000}"/>
    <cellStyle name="Normal 3 2 2 4 2 2 5 2" xfId="5118" xr:uid="{00000000-0005-0000-0000-000013260000}"/>
    <cellStyle name="Normal 3 2 2 4 2 2 5 2 2" xfId="10432" xr:uid="{00000000-0005-0000-0000-000014260000}"/>
    <cellStyle name="Normal 3 2 2 4 2 2 5 3" xfId="7774" xr:uid="{00000000-0005-0000-0000-000015260000}"/>
    <cellStyle name="Normal 3 2 2 4 2 2 6" xfId="2690" xr:uid="{00000000-0005-0000-0000-000016260000}"/>
    <cellStyle name="Normal 3 2 2 4 2 2 6 2" xfId="5995" xr:uid="{00000000-0005-0000-0000-000017260000}"/>
    <cellStyle name="Normal 3 2 2 4 2 2 6 2 2" xfId="11309" xr:uid="{00000000-0005-0000-0000-000018260000}"/>
    <cellStyle name="Normal 3 2 2 4 2 2 6 3" xfId="8651" xr:uid="{00000000-0005-0000-0000-000019260000}"/>
    <cellStyle name="Normal 3 2 2 4 2 2 7" xfId="3864" xr:uid="{00000000-0005-0000-0000-00001A260000}"/>
    <cellStyle name="Normal 3 2 2 4 2 2 7 2" xfId="9555" xr:uid="{00000000-0005-0000-0000-00001B260000}"/>
    <cellStyle name="Normal 3 2 2 4 2 2 8" xfId="6897" xr:uid="{00000000-0005-0000-0000-00001C260000}"/>
    <cellStyle name="Normal 3 2 2 4 2 3" xfId="788" xr:uid="{00000000-0005-0000-0000-00001D260000}"/>
    <cellStyle name="Normal 3 2 2 4 2 3 2" xfId="843" xr:uid="{00000000-0005-0000-0000-00001E260000}"/>
    <cellStyle name="Normal 3 2 2 4 2 3 2 2" xfId="1528" xr:uid="{00000000-0005-0000-0000-00001F260000}"/>
    <cellStyle name="Normal 3 2 2 4 2 3 2 2 2" xfId="2450" xr:uid="{00000000-0005-0000-0000-000020260000}"/>
    <cellStyle name="Normal 3 2 2 4 2 3 2 2 2 2" xfId="5797" xr:uid="{00000000-0005-0000-0000-000021260000}"/>
    <cellStyle name="Normal 3 2 2 4 2 3 2 2 2 2 2" xfId="11111" xr:uid="{00000000-0005-0000-0000-000022260000}"/>
    <cellStyle name="Normal 3 2 2 4 2 3 2 2 2 3" xfId="8453" xr:uid="{00000000-0005-0000-0000-000023260000}"/>
    <cellStyle name="Normal 3 2 2 4 2 3 2 2 3" xfId="3371" xr:uid="{00000000-0005-0000-0000-000024260000}"/>
    <cellStyle name="Normal 3 2 2 4 2 3 2 2 3 2" xfId="6674" xr:uid="{00000000-0005-0000-0000-000025260000}"/>
    <cellStyle name="Normal 3 2 2 4 2 3 2 2 3 2 2" xfId="11988" xr:uid="{00000000-0005-0000-0000-000026260000}"/>
    <cellStyle name="Normal 3 2 2 4 2 3 2 2 3 3" xfId="9330" xr:uid="{00000000-0005-0000-0000-000027260000}"/>
    <cellStyle name="Normal 3 2 2 4 2 3 2 2 4" xfId="4920" xr:uid="{00000000-0005-0000-0000-000028260000}"/>
    <cellStyle name="Normal 3 2 2 4 2 3 2 2 4 2" xfId="10234" xr:uid="{00000000-0005-0000-0000-000029260000}"/>
    <cellStyle name="Normal 3 2 2 4 2 3 2 2 5" xfId="7576" xr:uid="{00000000-0005-0000-0000-00002A260000}"/>
    <cellStyle name="Normal 3 2 2 4 2 3 2 3" xfId="1533" xr:uid="{00000000-0005-0000-0000-00002B260000}"/>
    <cellStyle name="Normal 3 2 2 4 2 3 2 3 2" xfId="1536" xr:uid="{00000000-0005-0000-0000-00002C260000}"/>
    <cellStyle name="Normal 3 2 2 4 2 3 2 3 2 2" xfId="2458" xr:uid="{00000000-0005-0000-0000-00002D260000}"/>
    <cellStyle name="Normal 3 2 2 4 2 3 2 3 2 2 2" xfId="5805" xr:uid="{00000000-0005-0000-0000-00002E260000}"/>
    <cellStyle name="Normal 3 2 2 4 2 3 2 3 2 2 2 2" xfId="11119" xr:uid="{00000000-0005-0000-0000-00002F260000}"/>
    <cellStyle name="Normal 3 2 2 4 2 3 2 3 2 2 3" xfId="8461" xr:uid="{00000000-0005-0000-0000-000030260000}"/>
    <cellStyle name="Normal 3 2 2 4 2 3 2 3 2 3" xfId="3379" xr:uid="{00000000-0005-0000-0000-000031260000}"/>
    <cellStyle name="Normal 3 2 2 4 2 3 2 3 2 3 2" xfId="6682" xr:uid="{00000000-0005-0000-0000-000032260000}"/>
    <cellStyle name="Normal 3 2 2 4 2 3 2 3 2 3 2 2" xfId="11996" xr:uid="{00000000-0005-0000-0000-000033260000}"/>
    <cellStyle name="Normal 3 2 2 4 2 3 2 3 2 3 3" xfId="9338" xr:uid="{00000000-0005-0000-0000-000034260000}"/>
    <cellStyle name="Normal 3 2 2 4 2 3 2 3 2 4" xfId="3381" xr:uid="{00000000-0005-0000-0000-000035260000}"/>
    <cellStyle name="Normal 3 2 2 4 2 3 2 3 2 4 2" xfId="3386" xr:uid="{00000000-0005-0000-0000-000036260000}"/>
    <cellStyle name="Normal 3 2 2 4 2 3 2 3 2 4 2 2" xfId="3389" xr:uid="{00000000-0005-0000-0000-000037260000}"/>
    <cellStyle name="Normal 3 2 2 4 2 3 2 3 2 4 2 2 2" xfId="6692" xr:uid="{00000000-0005-0000-0000-000038260000}"/>
    <cellStyle name="Normal 3 2 2 4 2 3 2 3 2 4 2 2 2 2" xfId="12006" xr:uid="{00000000-0005-0000-0000-000039260000}"/>
    <cellStyle name="Normal 3 2 2 4 2 3 2 3 2 4 2 2 3" xfId="9348" xr:uid="{00000000-0005-0000-0000-00003A260000}"/>
    <cellStyle name="Normal 3 2 2 4 2 3 2 3 2 4 2 3" xfId="3391" xr:uid="{00000000-0005-0000-0000-00003B260000}"/>
    <cellStyle name="Normal 3 2 2 4 2 3 2 3 2 4 2 3 2" xfId="6694" xr:uid="{00000000-0005-0000-0000-00003C260000}"/>
    <cellStyle name="Normal 3 2 2 4 2 3 2 3 2 4 2 3 2 2" xfId="12008" xr:uid="{00000000-0005-0000-0000-00003D260000}"/>
    <cellStyle name="Normal 3 2 2 4 2 3 2 3 2 4 2 3 3" xfId="9350" xr:uid="{00000000-0005-0000-0000-00003E260000}"/>
    <cellStyle name="Normal 3 2 2 4 2 3 2 3 2 4 2 4" xfId="6689" xr:uid="{00000000-0005-0000-0000-00003F260000}"/>
    <cellStyle name="Normal 3 2 2 4 2 3 2 3 2 4 2 4 2" xfId="12003" xr:uid="{00000000-0005-0000-0000-000040260000}"/>
    <cellStyle name="Normal 3 2 2 4 2 3 2 3 2 4 2 5" xfId="9345" xr:uid="{00000000-0005-0000-0000-000041260000}"/>
    <cellStyle name="Normal 3 2 2 4 2 3 2 3 2 4 3" xfId="6684" xr:uid="{00000000-0005-0000-0000-000042260000}"/>
    <cellStyle name="Normal 3 2 2 4 2 3 2 3 2 4 3 2" xfId="11998" xr:uid="{00000000-0005-0000-0000-000043260000}"/>
    <cellStyle name="Normal 3 2 2 4 2 3 2 3 2 4 4" xfId="9340" xr:uid="{00000000-0005-0000-0000-000044260000}"/>
    <cellStyle name="Normal 3 2 2 4 2 3 2 3 2 5" xfId="4928" xr:uid="{00000000-0005-0000-0000-000045260000}"/>
    <cellStyle name="Normal 3 2 2 4 2 3 2 3 2 5 2" xfId="10242" xr:uid="{00000000-0005-0000-0000-000046260000}"/>
    <cellStyle name="Normal 3 2 2 4 2 3 2 3 2 6" xfId="7584" xr:uid="{00000000-0005-0000-0000-000047260000}"/>
    <cellStyle name="Normal 3 2 2 4 2 3 2 3 3" xfId="2455" xr:uid="{00000000-0005-0000-0000-000048260000}"/>
    <cellStyle name="Normal 3 2 2 4 2 3 2 3 3 2" xfId="5802" xr:uid="{00000000-0005-0000-0000-000049260000}"/>
    <cellStyle name="Normal 3 2 2 4 2 3 2 3 3 2 2" xfId="11116" xr:uid="{00000000-0005-0000-0000-00004A260000}"/>
    <cellStyle name="Normal 3 2 2 4 2 3 2 3 3 3" xfId="8458" xr:uid="{00000000-0005-0000-0000-00004B260000}"/>
    <cellStyle name="Normal 3 2 2 4 2 3 2 3 4" xfId="3376" xr:uid="{00000000-0005-0000-0000-00004C260000}"/>
    <cellStyle name="Normal 3 2 2 4 2 3 2 3 4 2" xfId="6679" xr:uid="{00000000-0005-0000-0000-00004D260000}"/>
    <cellStyle name="Normal 3 2 2 4 2 3 2 3 4 2 2" xfId="11993" xr:uid="{00000000-0005-0000-0000-00004E260000}"/>
    <cellStyle name="Normal 3 2 2 4 2 3 2 3 4 3" xfId="9335" xr:uid="{00000000-0005-0000-0000-00004F260000}"/>
    <cellStyle name="Normal 3 2 2 4 2 3 2 3 5" xfId="4925" xr:uid="{00000000-0005-0000-0000-000050260000}"/>
    <cellStyle name="Normal 3 2 2 4 2 3 2 3 5 2" xfId="10239" xr:uid="{00000000-0005-0000-0000-000051260000}"/>
    <cellStyle name="Normal 3 2 2 4 2 3 2 3 6" xfId="7581" xr:uid="{00000000-0005-0000-0000-000052260000}"/>
    <cellStyle name="Normal 3 2 2 4 2 3 2 4" xfId="2014" xr:uid="{00000000-0005-0000-0000-000053260000}"/>
    <cellStyle name="Normal 3 2 2 4 2 3 2 4 2" xfId="5361" xr:uid="{00000000-0005-0000-0000-000054260000}"/>
    <cellStyle name="Normal 3 2 2 4 2 3 2 4 2 2" xfId="10675" xr:uid="{00000000-0005-0000-0000-000055260000}"/>
    <cellStyle name="Normal 3 2 2 4 2 3 2 4 3" xfId="8017" xr:uid="{00000000-0005-0000-0000-000056260000}"/>
    <cellStyle name="Normal 3 2 2 4 2 3 2 5" xfId="2935" xr:uid="{00000000-0005-0000-0000-000057260000}"/>
    <cellStyle name="Normal 3 2 2 4 2 3 2 5 2" xfId="6238" xr:uid="{00000000-0005-0000-0000-000058260000}"/>
    <cellStyle name="Normal 3 2 2 4 2 3 2 5 2 2" xfId="11552" xr:uid="{00000000-0005-0000-0000-000059260000}"/>
    <cellStyle name="Normal 3 2 2 4 2 3 2 5 3" xfId="8894" xr:uid="{00000000-0005-0000-0000-00005A260000}"/>
    <cellStyle name="Normal 3 2 2 4 2 3 2 6" xfId="4235" xr:uid="{00000000-0005-0000-0000-00005B260000}"/>
    <cellStyle name="Normal 3 2 2 4 2 3 2 6 2" xfId="9798" xr:uid="{00000000-0005-0000-0000-00005C260000}"/>
    <cellStyle name="Normal 3 2 2 4 2 3 2 7" xfId="7140" xr:uid="{00000000-0005-0000-0000-00005D260000}"/>
    <cellStyle name="Normal 3 2 2 4 2 3 3" xfId="1475" xr:uid="{00000000-0005-0000-0000-00005E260000}"/>
    <cellStyle name="Normal 3 2 2 4 2 3 3 2" xfId="2403" xr:uid="{00000000-0005-0000-0000-00005F260000}"/>
    <cellStyle name="Normal 3 2 2 4 2 3 3 2 2" xfId="5750" xr:uid="{00000000-0005-0000-0000-000060260000}"/>
    <cellStyle name="Normal 3 2 2 4 2 3 3 2 2 2" xfId="11064" xr:uid="{00000000-0005-0000-0000-000061260000}"/>
    <cellStyle name="Normal 3 2 2 4 2 3 3 2 3" xfId="8406" xr:uid="{00000000-0005-0000-0000-000062260000}"/>
    <cellStyle name="Normal 3 2 2 4 2 3 3 3" xfId="3324" xr:uid="{00000000-0005-0000-0000-000063260000}"/>
    <cellStyle name="Normal 3 2 2 4 2 3 3 3 2" xfId="6627" xr:uid="{00000000-0005-0000-0000-000064260000}"/>
    <cellStyle name="Normal 3 2 2 4 2 3 3 3 2 2" xfId="11941" xr:uid="{00000000-0005-0000-0000-000065260000}"/>
    <cellStyle name="Normal 3 2 2 4 2 3 3 3 3" xfId="9283" xr:uid="{00000000-0005-0000-0000-000066260000}"/>
    <cellStyle name="Normal 3 2 2 4 2 3 3 4" xfId="4867" xr:uid="{00000000-0005-0000-0000-000067260000}"/>
    <cellStyle name="Normal 3 2 2 4 2 3 3 4 2" xfId="10187" xr:uid="{00000000-0005-0000-0000-000068260000}"/>
    <cellStyle name="Normal 3 2 2 4 2 3 3 5" xfId="7529" xr:uid="{00000000-0005-0000-0000-000069260000}"/>
    <cellStyle name="Normal 3 2 2 4 2 3 4" xfId="1965" xr:uid="{00000000-0005-0000-0000-00006A260000}"/>
    <cellStyle name="Normal 3 2 2 4 2 3 4 2" xfId="5314" xr:uid="{00000000-0005-0000-0000-00006B260000}"/>
    <cellStyle name="Normal 3 2 2 4 2 3 4 2 2" xfId="10628" xr:uid="{00000000-0005-0000-0000-00006C260000}"/>
    <cellStyle name="Normal 3 2 2 4 2 3 4 3" xfId="7970" xr:uid="{00000000-0005-0000-0000-00006D260000}"/>
    <cellStyle name="Normal 3 2 2 4 2 3 5" xfId="2886" xr:uid="{00000000-0005-0000-0000-00006E260000}"/>
    <cellStyle name="Normal 3 2 2 4 2 3 5 2" xfId="6191" xr:uid="{00000000-0005-0000-0000-00006F260000}"/>
    <cellStyle name="Normal 3 2 2 4 2 3 5 2 2" xfId="11505" xr:uid="{00000000-0005-0000-0000-000070260000}"/>
    <cellStyle name="Normal 3 2 2 4 2 3 5 3" xfId="8847" xr:uid="{00000000-0005-0000-0000-000071260000}"/>
    <cellStyle name="Normal 3 2 2 4 2 3 6" xfId="4182" xr:uid="{00000000-0005-0000-0000-000072260000}"/>
    <cellStyle name="Normal 3 2 2 4 2 3 6 2" xfId="9751" xr:uid="{00000000-0005-0000-0000-000073260000}"/>
    <cellStyle name="Normal 3 2 2 4 2 3 7" xfId="7093" xr:uid="{00000000-0005-0000-0000-000074260000}"/>
    <cellStyle name="Normal 3 2 2 4 2 4" xfId="1153" xr:uid="{00000000-0005-0000-0000-000075260000}"/>
    <cellStyle name="Normal 3 2 2 4 2 4 2" xfId="2203" xr:uid="{00000000-0005-0000-0000-000076260000}"/>
    <cellStyle name="Normal 3 2 2 4 2 4 2 2" xfId="5550" xr:uid="{00000000-0005-0000-0000-000077260000}"/>
    <cellStyle name="Normal 3 2 2 4 2 4 2 2 2" xfId="10864" xr:uid="{00000000-0005-0000-0000-000078260000}"/>
    <cellStyle name="Normal 3 2 2 4 2 4 2 3" xfId="8206" xr:uid="{00000000-0005-0000-0000-000079260000}"/>
    <cellStyle name="Normal 3 2 2 4 2 4 3" xfId="3124" xr:uid="{00000000-0005-0000-0000-00007A260000}"/>
    <cellStyle name="Normal 3 2 2 4 2 4 3 2" xfId="6427" xr:uid="{00000000-0005-0000-0000-00007B260000}"/>
    <cellStyle name="Normal 3 2 2 4 2 4 3 2 2" xfId="11741" xr:uid="{00000000-0005-0000-0000-00007C260000}"/>
    <cellStyle name="Normal 3 2 2 4 2 4 3 3" xfId="9083" xr:uid="{00000000-0005-0000-0000-00007D260000}"/>
    <cellStyle name="Normal 3 2 2 4 2 4 4" xfId="4545" xr:uid="{00000000-0005-0000-0000-00007E260000}"/>
    <cellStyle name="Normal 3 2 2 4 2 4 4 2" xfId="9987" xr:uid="{00000000-0005-0000-0000-00007F260000}"/>
    <cellStyle name="Normal 3 2 2 4 2 4 5" xfId="7329" xr:uid="{00000000-0005-0000-0000-000080260000}"/>
    <cellStyle name="Normal 3 2 2 4 2 5" xfId="1765" xr:uid="{00000000-0005-0000-0000-000081260000}"/>
    <cellStyle name="Normal 3 2 2 4 2 5 2" xfId="5114" xr:uid="{00000000-0005-0000-0000-000082260000}"/>
    <cellStyle name="Normal 3 2 2 4 2 5 2 2" xfId="10428" xr:uid="{00000000-0005-0000-0000-000083260000}"/>
    <cellStyle name="Normal 3 2 2 4 2 5 3" xfId="7770" xr:uid="{00000000-0005-0000-0000-000084260000}"/>
    <cellStyle name="Normal 3 2 2 4 2 6" xfId="2686" xr:uid="{00000000-0005-0000-0000-000085260000}"/>
    <cellStyle name="Normal 3 2 2 4 2 6 2" xfId="5991" xr:uid="{00000000-0005-0000-0000-000086260000}"/>
    <cellStyle name="Normal 3 2 2 4 2 6 2 2" xfId="11305" xr:uid="{00000000-0005-0000-0000-000087260000}"/>
    <cellStyle name="Normal 3 2 2 4 2 6 3" xfId="8647" xr:uid="{00000000-0005-0000-0000-000088260000}"/>
    <cellStyle name="Normal 3 2 2 4 2 7" xfId="3860" xr:uid="{00000000-0005-0000-0000-000089260000}"/>
    <cellStyle name="Normal 3 2 2 4 2 7 2" xfId="9551" xr:uid="{00000000-0005-0000-0000-00008A260000}"/>
    <cellStyle name="Normal 3 2 2 4 2 8" xfId="6893" xr:uid="{00000000-0005-0000-0000-00008B260000}"/>
    <cellStyle name="Normal 3 2 2 4 3" xfId="625" xr:uid="{00000000-0005-0000-0000-00008C260000}"/>
    <cellStyle name="Normal 3 2 2 4 3 2" xfId="1312" xr:uid="{00000000-0005-0000-0000-00008D260000}"/>
    <cellStyle name="Normal 3 2 2 4 3 2 2" xfId="2302" xr:uid="{00000000-0005-0000-0000-00008E260000}"/>
    <cellStyle name="Normal 3 2 2 4 3 2 2 2" xfId="5649" xr:uid="{00000000-0005-0000-0000-00008F260000}"/>
    <cellStyle name="Normal 3 2 2 4 3 2 2 2 2" xfId="10963" xr:uid="{00000000-0005-0000-0000-000090260000}"/>
    <cellStyle name="Normal 3 2 2 4 3 2 2 3" xfId="8305" xr:uid="{00000000-0005-0000-0000-000091260000}"/>
    <cellStyle name="Normal 3 2 2 4 3 2 3" xfId="3223" xr:uid="{00000000-0005-0000-0000-000092260000}"/>
    <cellStyle name="Normal 3 2 2 4 3 2 3 2" xfId="6526" xr:uid="{00000000-0005-0000-0000-000093260000}"/>
    <cellStyle name="Normal 3 2 2 4 3 2 3 2 2" xfId="11840" xr:uid="{00000000-0005-0000-0000-000094260000}"/>
    <cellStyle name="Normal 3 2 2 4 3 2 3 3" xfId="9182" xr:uid="{00000000-0005-0000-0000-000095260000}"/>
    <cellStyle name="Normal 3 2 2 4 3 2 4" xfId="4704" xr:uid="{00000000-0005-0000-0000-000096260000}"/>
    <cellStyle name="Normal 3 2 2 4 3 2 4 2" xfId="10086" xr:uid="{00000000-0005-0000-0000-000097260000}"/>
    <cellStyle name="Normal 3 2 2 4 3 2 5" xfId="7428" xr:uid="{00000000-0005-0000-0000-000098260000}"/>
    <cellStyle name="Normal 3 2 2 4 3 3" xfId="1864" xr:uid="{00000000-0005-0000-0000-000099260000}"/>
    <cellStyle name="Normal 3 2 2 4 3 3 2" xfId="5213" xr:uid="{00000000-0005-0000-0000-00009A260000}"/>
    <cellStyle name="Normal 3 2 2 4 3 3 2 2" xfId="10527" xr:uid="{00000000-0005-0000-0000-00009B260000}"/>
    <cellStyle name="Normal 3 2 2 4 3 3 3" xfId="7869" xr:uid="{00000000-0005-0000-0000-00009C260000}"/>
    <cellStyle name="Normal 3 2 2 4 3 4" xfId="2785" xr:uid="{00000000-0005-0000-0000-00009D260000}"/>
    <cellStyle name="Normal 3 2 2 4 3 4 2" xfId="6090" xr:uid="{00000000-0005-0000-0000-00009E260000}"/>
    <cellStyle name="Normal 3 2 2 4 3 4 2 2" xfId="11404" xr:uid="{00000000-0005-0000-0000-00009F260000}"/>
    <cellStyle name="Normal 3 2 2 4 3 4 3" xfId="8746" xr:uid="{00000000-0005-0000-0000-0000A0260000}"/>
    <cellStyle name="Normal 3 2 2 4 3 5" xfId="4019" xr:uid="{00000000-0005-0000-0000-0000A1260000}"/>
    <cellStyle name="Normal 3 2 2 4 3 5 2" xfId="9650" xr:uid="{00000000-0005-0000-0000-0000A2260000}"/>
    <cellStyle name="Normal 3 2 2 4 3 6" xfId="6992" xr:uid="{00000000-0005-0000-0000-0000A3260000}"/>
    <cellStyle name="Normal 3 2 2 4 4" xfId="990" xr:uid="{00000000-0005-0000-0000-0000A4260000}"/>
    <cellStyle name="Normal 3 2 2 4 4 2" xfId="2102" xr:uid="{00000000-0005-0000-0000-0000A5260000}"/>
    <cellStyle name="Normal 3 2 2 4 4 2 2" xfId="5449" xr:uid="{00000000-0005-0000-0000-0000A6260000}"/>
    <cellStyle name="Normal 3 2 2 4 4 2 2 2" xfId="10763" xr:uid="{00000000-0005-0000-0000-0000A7260000}"/>
    <cellStyle name="Normal 3 2 2 4 4 2 3" xfId="8105" xr:uid="{00000000-0005-0000-0000-0000A8260000}"/>
    <cellStyle name="Normal 3 2 2 4 4 3" xfId="3023" xr:uid="{00000000-0005-0000-0000-0000A9260000}"/>
    <cellStyle name="Normal 3 2 2 4 4 3 2" xfId="6326" xr:uid="{00000000-0005-0000-0000-0000AA260000}"/>
    <cellStyle name="Normal 3 2 2 4 4 3 2 2" xfId="11640" xr:uid="{00000000-0005-0000-0000-0000AB260000}"/>
    <cellStyle name="Normal 3 2 2 4 4 3 3" xfId="8982" xr:uid="{00000000-0005-0000-0000-0000AC260000}"/>
    <cellStyle name="Normal 3 2 2 4 4 4" xfId="4382" xr:uid="{00000000-0005-0000-0000-0000AD260000}"/>
    <cellStyle name="Normal 3 2 2 4 4 4 2" xfId="9886" xr:uid="{00000000-0005-0000-0000-0000AE260000}"/>
    <cellStyle name="Normal 3 2 2 4 4 5" xfId="7228" xr:uid="{00000000-0005-0000-0000-0000AF260000}"/>
    <cellStyle name="Normal 3 2 2 4 5" xfId="1664" xr:uid="{00000000-0005-0000-0000-0000B0260000}"/>
    <cellStyle name="Normal 3 2 2 4 5 2" xfId="5013" xr:uid="{00000000-0005-0000-0000-0000B1260000}"/>
    <cellStyle name="Normal 3 2 2 4 5 2 2" xfId="10327" xr:uid="{00000000-0005-0000-0000-0000B2260000}"/>
    <cellStyle name="Normal 3 2 2 4 5 3" xfId="7669" xr:uid="{00000000-0005-0000-0000-0000B3260000}"/>
    <cellStyle name="Normal 3 2 2 4 6" xfId="2585" xr:uid="{00000000-0005-0000-0000-0000B4260000}"/>
    <cellStyle name="Normal 3 2 2 4 6 2" xfId="5890" xr:uid="{00000000-0005-0000-0000-0000B5260000}"/>
    <cellStyle name="Normal 3 2 2 4 6 2 2" xfId="11204" xr:uid="{00000000-0005-0000-0000-0000B6260000}"/>
    <cellStyle name="Normal 3 2 2 4 6 3" xfId="8546" xr:uid="{00000000-0005-0000-0000-0000B7260000}"/>
    <cellStyle name="Normal 3 2 2 4 7" xfId="3697" xr:uid="{00000000-0005-0000-0000-0000B8260000}"/>
    <cellStyle name="Normal 3 2 2 4 7 2" xfId="9450" xr:uid="{00000000-0005-0000-0000-0000B9260000}"/>
    <cellStyle name="Normal 3 2 2 4 8" xfId="6792" xr:uid="{00000000-0005-0000-0000-0000BA260000}"/>
    <cellStyle name="Normal 3 2 2 5" xfId="438" xr:uid="{00000000-0005-0000-0000-0000BB260000}"/>
    <cellStyle name="Normal 3 2 2 5 2" xfId="761" xr:uid="{00000000-0005-0000-0000-0000BC260000}"/>
    <cellStyle name="Normal 3 2 2 5 2 2" xfId="1448" xr:uid="{00000000-0005-0000-0000-0000BD260000}"/>
    <cellStyle name="Normal 3 2 2 5 2 2 2" xfId="2379" xr:uid="{00000000-0005-0000-0000-0000BE260000}"/>
    <cellStyle name="Normal 3 2 2 5 2 2 2 2" xfId="5726" xr:uid="{00000000-0005-0000-0000-0000BF260000}"/>
    <cellStyle name="Normal 3 2 2 5 2 2 2 2 2" xfId="11040" xr:uid="{00000000-0005-0000-0000-0000C0260000}"/>
    <cellStyle name="Normal 3 2 2 5 2 2 2 3" xfId="8382" xr:uid="{00000000-0005-0000-0000-0000C1260000}"/>
    <cellStyle name="Normal 3 2 2 5 2 2 3" xfId="3300" xr:uid="{00000000-0005-0000-0000-0000C2260000}"/>
    <cellStyle name="Normal 3 2 2 5 2 2 3 2" xfId="6603" xr:uid="{00000000-0005-0000-0000-0000C3260000}"/>
    <cellStyle name="Normal 3 2 2 5 2 2 3 2 2" xfId="11917" xr:uid="{00000000-0005-0000-0000-0000C4260000}"/>
    <cellStyle name="Normal 3 2 2 5 2 2 3 3" xfId="9259" xr:uid="{00000000-0005-0000-0000-0000C5260000}"/>
    <cellStyle name="Normal 3 2 2 5 2 2 4" xfId="4840" xr:uid="{00000000-0005-0000-0000-0000C6260000}"/>
    <cellStyle name="Normal 3 2 2 5 2 2 4 2" xfId="10163" xr:uid="{00000000-0005-0000-0000-0000C7260000}"/>
    <cellStyle name="Normal 3 2 2 5 2 2 5" xfId="7505" xr:uid="{00000000-0005-0000-0000-0000C8260000}"/>
    <cellStyle name="Normal 3 2 2 5 2 3" xfId="1941" xr:uid="{00000000-0005-0000-0000-0000C9260000}"/>
    <cellStyle name="Normal 3 2 2 5 2 3 2" xfId="5290" xr:uid="{00000000-0005-0000-0000-0000CA260000}"/>
    <cellStyle name="Normal 3 2 2 5 2 3 2 2" xfId="10604" xr:uid="{00000000-0005-0000-0000-0000CB260000}"/>
    <cellStyle name="Normal 3 2 2 5 2 3 3" xfId="7946" xr:uid="{00000000-0005-0000-0000-0000CC260000}"/>
    <cellStyle name="Normal 3 2 2 5 2 4" xfId="2862" xr:uid="{00000000-0005-0000-0000-0000CD260000}"/>
    <cellStyle name="Normal 3 2 2 5 2 4 2" xfId="6167" xr:uid="{00000000-0005-0000-0000-0000CE260000}"/>
    <cellStyle name="Normal 3 2 2 5 2 4 2 2" xfId="11481" xr:uid="{00000000-0005-0000-0000-0000CF260000}"/>
    <cellStyle name="Normal 3 2 2 5 2 4 3" xfId="8823" xr:uid="{00000000-0005-0000-0000-0000D0260000}"/>
    <cellStyle name="Normal 3 2 2 5 2 5" xfId="4155" xr:uid="{00000000-0005-0000-0000-0000D1260000}"/>
    <cellStyle name="Normal 3 2 2 5 2 5 2" xfId="9727" xr:uid="{00000000-0005-0000-0000-0000D2260000}"/>
    <cellStyle name="Normal 3 2 2 5 2 6" xfId="7069" xr:uid="{00000000-0005-0000-0000-0000D3260000}"/>
    <cellStyle name="Normal 3 2 2 5 3" xfId="1126" xr:uid="{00000000-0005-0000-0000-0000D4260000}"/>
    <cellStyle name="Normal 3 2 2 5 3 2" xfId="2179" xr:uid="{00000000-0005-0000-0000-0000D5260000}"/>
    <cellStyle name="Normal 3 2 2 5 3 2 2" xfId="5526" xr:uid="{00000000-0005-0000-0000-0000D6260000}"/>
    <cellStyle name="Normal 3 2 2 5 3 2 2 2" xfId="10840" xr:uid="{00000000-0005-0000-0000-0000D7260000}"/>
    <cellStyle name="Normal 3 2 2 5 3 2 3" xfId="8182" xr:uid="{00000000-0005-0000-0000-0000D8260000}"/>
    <cellStyle name="Normal 3 2 2 5 3 3" xfId="3100" xr:uid="{00000000-0005-0000-0000-0000D9260000}"/>
    <cellStyle name="Normal 3 2 2 5 3 3 2" xfId="6403" xr:uid="{00000000-0005-0000-0000-0000DA260000}"/>
    <cellStyle name="Normal 3 2 2 5 3 3 2 2" xfId="11717" xr:uid="{00000000-0005-0000-0000-0000DB260000}"/>
    <cellStyle name="Normal 3 2 2 5 3 3 3" xfId="9059" xr:uid="{00000000-0005-0000-0000-0000DC260000}"/>
    <cellStyle name="Normal 3 2 2 5 3 4" xfId="4518" xr:uid="{00000000-0005-0000-0000-0000DD260000}"/>
    <cellStyle name="Normal 3 2 2 5 3 4 2" xfId="9963" xr:uid="{00000000-0005-0000-0000-0000DE260000}"/>
    <cellStyle name="Normal 3 2 2 5 3 5" xfId="7305" xr:uid="{00000000-0005-0000-0000-0000DF260000}"/>
    <cellStyle name="Normal 3 2 2 5 4" xfId="1741" xr:uid="{00000000-0005-0000-0000-0000E0260000}"/>
    <cellStyle name="Normal 3 2 2 5 4 2" xfId="5090" xr:uid="{00000000-0005-0000-0000-0000E1260000}"/>
    <cellStyle name="Normal 3 2 2 5 4 2 2" xfId="10404" xr:uid="{00000000-0005-0000-0000-0000E2260000}"/>
    <cellStyle name="Normal 3 2 2 5 4 3" xfId="7746" xr:uid="{00000000-0005-0000-0000-0000E3260000}"/>
    <cellStyle name="Normal 3 2 2 5 5" xfId="2662" xr:uid="{00000000-0005-0000-0000-0000E4260000}"/>
    <cellStyle name="Normal 3 2 2 5 5 2" xfId="5967" xr:uid="{00000000-0005-0000-0000-0000E5260000}"/>
    <cellStyle name="Normal 3 2 2 5 5 2 2" xfId="11281" xr:uid="{00000000-0005-0000-0000-0000E6260000}"/>
    <cellStyle name="Normal 3 2 2 5 5 3" xfId="8623" xr:uid="{00000000-0005-0000-0000-0000E7260000}"/>
    <cellStyle name="Normal 3 2 2 5 6" xfId="3833" xr:uid="{00000000-0005-0000-0000-0000E8260000}"/>
    <cellStyle name="Normal 3 2 2 5 6 2" xfId="9527" xr:uid="{00000000-0005-0000-0000-0000E9260000}"/>
    <cellStyle name="Normal 3 2 2 5 7" xfId="6869" xr:uid="{00000000-0005-0000-0000-0000EA260000}"/>
    <cellStyle name="Normal 3 2 2 6" xfId="612" xr:uid="{00000000-0005-0000-0000-0000EB260000}"/>
    <cellStyle name="Normal 3 2 2 6 2" xfId="1299" xr:uid="{00000000-0005-0000-0000-0000EC260000}"/>
    <cellStyle name="Normal 3 2 2 6 2 2" xfId="2290" xr:uid="{00000000-0005-0000-0000-0000ED260000}"/>
    <cellStyle name="Normal 3 2 2 6 2 2 2" xfId="5637" xr:uid="{00000000-0005-0000-0000-0000EE260000}"/>
    <cellStyle name="Normal 3 2 2 6 2 2 2 2" xfId="10951" xr:uid="{00000000-0005-0000-0000-0000EF260000}"/>
    <cellStyle name="Normal 3 2 2 6 2 2 3" xfId="8293" xr:uid="{00000000-0005-0000-0000-0000F0260000}"/>
    <cellStyle name="Normal 3 2 2 6 2 3" xfId="3211" xr:uid="{00000000-0005-0000-0000-0000F1260000}"/>
    <cellStyle name="Normal 3 2 2 6 2 3 2" xfId="6514" xr:uid="{00000000-0005-0000-0000-0000F2260000}"/>
    <cellStyle name="Normal 3 2 2 6 2 3 2 2" xfId="11828" xr:uid="{00000000-0005-0000-0000-0000F3260000}"/>
    <cellStyle name="Normal 3 2 2 6 2 3 3" xfId="9170" xr:uid="{00000000-0005-0000-0000-0000F4260000}"/>
    <cellStyle name="Normal 3 2 2 6 2 4" xfId="4691" xr:uid="{00000000-0005-0000-0000-0000F5260000}"/>
    <cellStyle name="Normal 3 2 2 6 2 4 2" xfId="10074" xr:uid="{00000000-0005-0000-0000-0000F6260000}"/>
    <cellStyle name="Normal 3 2 2 6 2 5" xfId="7416" xr:uid="{00000000-0005-0000-0000-0000F7260000}"/>
    <cellStyle name="Normal 3 2 2 6 3" xfId="1852" xr:uid="{00000000-0005-0000-0000-0000F8260000}"/>
    <cellStyle name="Normal 3 2 2 6 3 2" xfId="5201" xr:uid="{00000000-0005-0000-0000-0000F9260000}"/>
    <cellStyle name="Normal 3 2 2 6 3 2 2" xfId="10515" xr:uid="{00000000-0005-0000-0000-0000FA260000}"/>
    <cellStyle name="Normal 3 2 2 6 3 3" xfId="7857" xr:uid="{00000000-0005-0000-0000-0000FB260000}"/>
    <cellStyle name="Normal 3 2 2 6 4" xfId="2773" xr:uid="{00000000-0005-0000-0000-0000FC260000}"/>
    <cellStyle name="Normal 3 2 2 6 4 2" xfId="6078" xr:uid="{00000000-0005-0000-0000-0000FD260000}"/>
    <cellStyle name="Normal 3 2 2 6 4 2 2" xfId="11392" xr:uid="{00000000-0005-0000-0000-0000FE260000}"/>
    <cellStyle name="Normal 3 2 2 6 4 3" xfId="8734" xr:uid="{00000000-0005-0000-0000-0000FF260000}"/>
    <cellStyle name="Normal 3 2 2 6 5" xfId="4006" xr:uid="{00000000-0005-0000-0000-000000270000}"/>
    <cellStyle name="Normal 3 2 2 6 5 2" xfId="9638" xr:uid="{00000000-0005-0000-0000-000001270000}"/>
    <cellStyle name="Normal 3 2 2 6 6" xfId="6980" xr:uid="{00000000-0005-0000-0000-000002270000}"/>
    <cellStyle name="Normal 3 2 2 7" xfId="977" xr:uid="{00000000-0005-0000-0000-000003270000}"/>
    <cellStyle name="Normal 3 2 2 7 2" xfId="2090" xr:uid="{00000000-0005-0000-0000-000004270000}"/>
    <cellStyle name="Normal 3 2 2 7 2 2" xfId="5437" xr:uid="{00000000-0005-0000-0000-000005270000}"/>
    <cellStyle name="Normal 3 2 2 7 2 2 2" xfId="10751" xr:uid="{00000000-0005-0000-0000-000006270000}"/>
    <cellStyle name="Normal 3 2 2 7 2 3" xfId="8093" xr:uid="{00000000-0005-0000-0000-000007270000}"/>
    <cellStyle name="Normal 3 2 2 7 3" xfId="3011" xr:uid="{00000000-0005-0000-0000-000008270000}"/>
    <cellStyle name="Normal 3 2 2 7 3 2" xfId="6314" xr:uid="{00000000-0005-0000-0000-000009270000}"/>
    <cellStyle name="Normal 3 2 2 7 3 2 2" xfId="11628" xr:uid="{00000000-0005-0000-0000-00000A270000}"/>
    <cellStyle name="Normal 3 2 2 7 3 3" xfId="8970" xr:uid="{00000000-0005-0000-0000-00000B270000}"/>
    <cellStyle name="Normal 3 2 2 7 4" xfId="4369" xr:uid="{00000000-0005-0000-0000-00000C270000}"/>
    <cellStyle name="Normal 3 2 2 7 4 2" xfId="9874" xr:uid="{00000000-0005-0000-0000-00000D270000}"/>
    <cellStyle name="Normal 3 2 2 7 5" xfId="7216" xr:uid="{00000000-0005-0000-0000-00000E270000}"/>
    <cellStyle name="Normal 3 2 2 8" xfId="1652" xr:uid="{00000000-0005-0000-0000-00000F270000}"/>
    <cellStyle name="Normal 3 2 2 8 2" xfId="5001" xr:uid="{00000000-0005-0000-0000-000010270000}"/>
    <cellStyle name="Normal 3 2 2 8 2 2" xfId="10315" xr:uid="{00000000-0005-0000-0000-000011270000}"/>
    <cellStyle name="Normal 3 2 2 8 3" xfId="7657" xr:uid="{00000000-0005-0000-0000-000012270000}"/>
    <cellStyle name="Normal 3 2 2 9" xfId="2573" xr:uid="{00000000-0005-0000-0000-000013270000}"/>
    <cellStyle name="Normal 3 2 2 9 2" xfId="5878" xr:uid="{00000000-0005-0000-0000-000014270000}"/>
    <cellStyle name="Normal 3 2 2 9 2 2" xfId="11192" xr:uid="{00000000-0005-0000-0000-000015270000}"/>
    <cellStyle name="Normal 3 2 2 9 3" xfId="8534" xr:uid="{00000000-0005-0000-0000-000016270000}"/>
    <cellStyle name="Normal 3 2 3" xfId="3516" xr:uid="{00000000-0005-0000-0000-000017270000}"/>
    <cellStyle name="Normal 3 3" xfId="3518" xr:uid="{00000000-0005-0000-0000-000018270000}"/>
    <cellStyle name="Normal 3 3 2" xfId="3469" xr:uid="{00000000-0005-0000-0000-000019270000}"/>
    <cellStyle name="Normal 3 3 3" xfId="222" xr:uid="{00000000-0005-0000-0000-00001A270000}"/>
    <cellStyle name="Normal 3 3 3 10" xfId="2552" xr:uid="{00000000-0005-0000-0000-00001B270000}"/>
    <cellStyle name="Normal 3 3 3 10 2" xfId="5858" xr:uid="{00000000-0005-0000-0000-00001C270000}"/>
    <cellStyle name="Normal 3 3 3 10 2 2" xfId="11172" xr:uid="{00000000-0005-0000-0000-00001D270000}"/>
    <cellStyle name="Normal 3 3 3 10 3" xfId="8514" xr:uid="{00000000-0005-0000-0000-00001E270000}"/>
    <cellStyle name="Normal 3 3 3 11" xfId="3663" xr:uid="{00000000-0005-0000-0000-00001F270000}"/>
    <cellStyle name="Normal 3 3 3 11 2" xfId="9418" xr:uid="{00000000-0005-0000-0000-000020270000}"/>
    <cellStyle name="Normal 3 3 3 12" xfId="6755" xr:uid="{00000000-0005-0000-0000-000021270000}"/>
    <cellStyle name="Normal 3 3 3 2" xfId="225" xr:uid="{00000000-0005-0000-0000-000022270000}"/>
    <cellStyle name="Normal 3 3 3 2 2" xfId="420" xr:uid="{00000000-0005-0000-0000-000023270000}"/>
    <cellStyle name="Normal 3 3 3 2 2 2" xfId="743" xr:uid="{00000000-0005-0000-0000-000024270000}"/>
    <cellStyle name="Normal 3 3 3 2 2 2 2" xfId="1430" xr:uid="{00000000-0005-0000-0000-000025270000}"/>
    <cellStyle name="Normal 3 3 3 2 2 2 2 2" xfId="2362" xr:uid="{00000000-0005-0000-0000-000026270000}"/>
    <cellStyle name="Normal 3 3 3 2 2 2 2 2 2" xfId="5709" xr:uid="{00000000-0005-0000-0000-000027270000}"/>
    <cellStyle name="Normal 3 3 3 2 2 2 2 2 2 2" xfId="11023" xr:uid="{00000000-0005-0000-0000-000028270000}"/>
    <cellStyle name="Normal 3 3 3 2 2 2 2 2 3" xfId="8365" xr:uid="{00000000-0005-0000-0000-000029270000}"/>
    <cellStyle name="Normal 3 3 3 2 2 2 2 3" xfId="3283" xr:uid="{00000000-0005-0000-0000-00002A270000}"/>
    <cellStyle name="Normal 3 3 3 2 2 2 2 3 2" xfId="6586" xr:uid="{00000000-0005-0000-0000-00002B270000}"/>
    <cellStyle name="Normal 3 3 3 2 2 2 2 3 2 2" xfId="11900" xr:uid="{00000000-0005-0000-0000-00002C270000}"/>
    <cellStyle name="Normal 3 3 3 2 2 2 2 3 3" xfId="9242" xr:uid="{00000000-0005-0000-0000-00002D270000}"/>
    <cellStyle name="Normal 3 3 3 2 2 2 2 4" xfId="4822" xr:uid="{00000000-0005-0000-0000-00002E270000}"/>
    <cellStyle name="Normal 3 3 3 2 2 2 2 4 2" xfId="10146" xr:uid="{00000000-0005-0000-0000-00002F270000}"/>
    <cellStyle name="Normal 3 3 3 2 2 2 2 5" xfId="7488" xr:uid="{00000000-0005-0000-0000-000030270000}"/>
    <cellStyle name="Normal 3 3 3 2 2 2 3" xfId="1924" xr:uid="{00000000-0005-0000-0000-000031270000}"/>
    <cellStyle name="Normal 3 3 3 2 2 2 3 2" xfId="5273" xr:uid="{00000000-0005-0000-0000-000032270000}"/>
    <cellStyle name="Normal 3 3 3 2 2 2 3 2 2" xfId="10587" xr:uid="{00000000-0005-0000-0000-000033270000}"/>
    <cellStyle name="Normal 3 3 3 2 2 2 3 3" xfId="7929" xr:uid="{00000000-0005-0000-0000-000034270000}"/>
    <cellStyle name="Normal 3 3 3 2 2 2 4" xfId="2845" xr:uid="{00000000-0005-0000-0000-000035270000}"/>
    <cellStyle name="Normal 3 3 3 2 2 2 4 2" xfId="6150" xr:uid="{00000000-0005-0000-0000-000036270000}"/>
    <cellStyle name="Normal 3 3 3 2 2 2 4 2 2" xfId="11464" xr:uid="{00000000-0005-0000-0000-000037270000}"/>
    <cellStyle name="Normal 3 3 3 2 2 2 4 3" xfId="8806" xr:uid="{00000000-0005-0000-0000-000038270000}"/>
    <cellStyle name="Normal 3 3 3 2 2 2 5" xfId="4137" xr:uid="{00000000-0005-0000-0000-000039270000}"/>
    <cellStyle name="Normal 3 3 3 2 2 2 5 2" xfId="9710" xr:uid="{00000000-0005-0000-0000-00003A270000}"/>
    <cellStyle name="Normal 3 3 3 2 2 2 6" xfId="7052" xr:uid="{00000000-0005-0000-0000-00003B270000}"/>
    <cellStyle name="Normal 3 3 3 2 2 3" xfId="1108" xr:uid="{00000000-0005-0000-0000-00003C270000}"/>
    <cellStyle name="Normal 3 3 3 2 2 3 2" xfId="2162" xr:uid="{00000000-0005-0000-0000-00003D270000}"/>
    <cellStyle name="Normal 3 3 3 2 2 3 2 2" xfId="5509" xr:uid="{00000000-0005-0000-0000-00003E270000}"/>
    <cellStyle name="Normal 3 3 3 2 2 3 2 2 2" xfId="10823" xr:uid="{00000000-0005-0000-0000-00003F270000}"/>
    <cellStyle name="Normal 3 3 3 2 2 3 2 3" xfId="8165" xr:uid="{00000000-0005-0000-0000-000040270000}"/>
    <cellStyle name="Normal 3 3 3 2 2 3 3" xfId="3083" xr:uid="{00000000-0005-0000-0000-000041270000}"/>
    <cellStyle name="Normal 3 3 3 2 2 3 3 2" xfId="6386" xr:uid="{00000000-0005-0000-0000-000042270000}"/>
    <cellStyle name="Normal 3 3 3 2 2 3 3 2 2" xfId="11700" xr:uid="{00000000-0005-0000-0000-000043270000}"/>
    <cellStyle name="Normal 3 3 3 2 2 3 3 3" xfId="9042" xr:uid="{00000000-0005-0000-0000-000044270000}"/>
    <cellStyle name="Normal 3 3 3 2 2 3 4" xfId="4500" xr:uid="{00000000-0005-0000-0000-000045270000}"/>
    <cellStyle name="Normal 3 3 3 2 2 3 4 2" xfId="9946" xr:uid="{00000000-0005-0000-0000-000046270000}"/>
    <cellStyle name="Normal 3 3 3 2 2 3 5" xfId="7288" xr:uid="{00000000-0005-0000-0000-000047270000}"/>
    <cellStyle name="Normal 3 3 3 2 2 4" xfId="1724" xr:uid="{00000000-0005-0000-0000-000048270000}"/>
    <cellStyle name="Normal 3 3 3 2 2 4 2" xfId="5073" xr:uid="{00000000-0005-0000-0000-000049270000}"/>
    <cellStyle name="Normal 3 3 3 2 2 4 2 2" xfId="10387" xr:uid="{00000000-0005-0000-0000-00004A270000}"/>
    <cellStyle name="Normal 3 3 3 2 2 4 3" xfId="7729" xr:uid="{00000000-0005-0000-0000-00004B270000}"/>
    <cellStyle name="Normal 3 3 3 2 2 5" xfId="2645" xr:uid="{00000000-0005-0000-0000-00004C270000}"/>
    <cellStyle name="Normal 3 3 3 2 2 5 2" xfId="5950" xr:uid="{00000000-0005-0000-0000-00004D270000}"/>
    <cellStyle name="Normal 3 3 3 2 2 5 2 2" xfId="11264" xr:uid="{00000000-0005-0000-0000-00004E270000}"/>
    <cellStyle name="Normal 3 3 3 2 2 5 3" xfId="8606" xr:uid="{00000000-0005-0000-0000-00004F270000}"/>
    <cellStyle name="Normal 3 3 3 2 2 6" xfId="3815" xr:uid="{00000000-0005-0000-0000-000050270000}"/>
    <cellStyle name="Normal 3 3 3 2 2 6 2" xfId="9510" xr:uid="{00000000-0005-0000-0000-000051270000}"/>
    <cellStyle name="Normal 3 3 3 2 2 7" xfId="6852" xr:uid="{00000000-0005-0000-0000-000052270000}"/>
    <cellStyle name="Normal 3 3 3 2 3" xfId="594" xr:uid="{00000000-0005-0000-0000-000053270000}"/>
    <cellStyle name="Normal 3 3 3 2 3 2" xfId="1281" xr:uid="{00000000-0005-0000-0000-000054270000}"/>
    <cellStyle name="Normal 3 3 3 2 3 2 2" xfId="2273" xr:uid="{00000000-0005-0000-0000-000055270000}"/>
    <cellStyle name="Normal 3 3 3 2 3 2 2 2" xfId="5620" xr:uid="{00000000-0005-0000-0000-000056270000}"/>
    <cellStyle name="Normal 3 3 3 2 3 2 2 2 2" xfId="10934" xr:uid="{00000000-0005-0000-0000-000057270000}"/>
    <cellStyle name="Normal 3 3 3 2 3 2 2 3" xfId="8276" xr:uid="{00000000-0005-0000-0000-000058270000}"/>
    <cellStyle name="Normal 3 3 3 2 3 2 3" xfId="3194" xr:uid="{00000000-0005-0000-0000-000059270000}"/>
    <cellStyle name="Normal 3 3 3 2 3 2 3 2" xfId="6497" xr:uid="{00000000-0005-0000-0000-00005A270000}"/>
    <cellStyle name="Normal 3 3 3 2 3 2 3 2 2" xfId="11811" xr:uid="{00000000-0005-0000-0000-00005B270000}"/>
    <cellStyle name="Normal 3 3 3 2 3 2 3 3" xfId="9153" xr:uid="{00000000-0005-0000-0000-00005C270000}"/>
    <cellStyle name="Normal 3 3 3 2 3 2 4" xfId="4673" xr:uid="{00000000-0005-0000-0000-00005D270000}"/>
    <cellStyle name="Normal 3 3 3 2 3 2 4 2" xfId="10057" xr:uid="{00000000-0005-0000-0000-00005E270000}"/>
    <cellStyle name="Normal 3 3 3 2 3 2 5" xfId="7399" xr:uid="{00000000-0005-0000-0000-00005F270000}"/>
    <cellStyle name="Normal 3 3 3 2 3 3" xfId="1835" xr:uid="{00000000-0005-0000-0000-000060270000}"/>
    <cellStyle name="Normal 3 3 3 2 3 3 2" xfId="5184" xr:uid="{00000000-0005-0000-0000-000061270000}"/>
    <cellStyle name="Normal 3 3 3 2 3 3 2 2" xfId="10498" xr:uid="{00000000-0005-0000-0000-000062270000}"/>
    <cellStyle name="Normal 3 3 3 2 3 3 3" xfId="7840" xr:uid="{00000000-0005-0000-0000-000063270000}"/>
    <cellStyle name="Normal 3 3 3 2 3 4" xfId="2756" xr:uid="{00000000-0005-0000-0000-000064270000}"/>
    <cellStyle name="Normal 3 3 3 2 3 4 2" xfId="6061" xr:uid="{00000000-0005-0000-0000-000065270000}"/>
    <cellStyle name="Normal 3 3 3 2 3 4 2 2" xfId="11375" xr:uid="{00000000-0005-0000-0000-000066270000}"/>
    <cellStyle name="Normal 3 3 3 2 3 4 3" xfId="8717" xr:uid="{00000000-0005-0000-0000-000067270000}"/>
    <cellStyle name="Normal 3 3 3 2 3 5" xfId="3988" xr:uid="{00000000-0005-0000-0000-000068270000}"/>
    <cellStyle name="Normal 3 3 3 2 3 5 2" xfId="9621" xr:uid="{00000000-0005-0000-0000-000069270000}"/>
    <cellStyle name="Normal 3 3 3 2 3 6" xfId="6963" xr:uid="{00000000-0005-0000-0000-00006A270000}"/>
    <cellStyle name="Normal 3 3 3 2 4" xfId="959" xr:uid="{00000000-0005-0000-0000-00006B270000}"/>
    <cellStyle name="Normal 3 3 3 2 4 2" xfId="2073" xr:uid="{00000000-0005-0000-0000-00006C270000}"/>
    <cellStyle name="Normal 3 3 3 2 4 2 2" xfId="5420" xr:uid="{00000000-0005-0000-0000-00006D270000}"/>
    <cellStyle name="Normal 3 3 3 2 4 2 2 2" xfId="10734" xr:uid="{00000000-0005-0000-0000-00006E270000}"/>
    <cellStyle name="Normal 3 3 3 2 4 2 3" xfId="8076" xr:uid="{00000000-0005-0000-0000-00006F270000}"/>
    <cellStyle name="Normal 3 3 3 2 4 3" xfId="2994" xr:uid="{00000000-0005-0000-0000-000070270000}"/>
    <cellStyle name="Normal 3 3 3 2 4 3 2" xfId="6297" xr:uid="{00000000-0005-0000-0000-000071270000}"/>
    <cellStyle name="Normal 3 3 3 2 4 3 2 2" xfId="11611" xr:uid="{00000000-0005-0000-0000-000072270000}"/>
    <cellStyle name="Normal 3 3 3 2 4 3 3" xfId="8953" xr:uid="{00000000-0005-0000-0000-000073270000}"/>
    <cellStyle name="Normal 3 3 3 2 4 4" xfId="4351" xr:uid="{00000000-0005-0000-0000-000074270000}"/>
    <cellStyle name="Normal 3 3 3 2 4 4 2" xfId="9857" xr:uid="{00000000-0005-0000-0000-000075270000}"/>
    <cellStyle name="Normal 3 3 3 2 4 5" xfId="7199" xr:uid="{00000000-0005-0000-0000-000076270000}"/>
    <cellStyle name="Normal 3 3 3 2 5" xfId="1634" xr:uid="{00000000-0005-0000-0000-000077270000}"/>
    <cellStyle name="Normal 3 3 3 2 5 2" xfId="4984" xr:uid="{00000000-0005-0000-0000-000078270000}"/>
    <cellStyle name="Normal 3 3 3 2 5 2 2" xfId="10298" xr:uid="{00000000-0005-0000-0000-000079270000}"/>
    <cellStyle name="Normal 3 3 3 2 5 3" xfId="7640" xr:uid="{00000000-0005-0000-0000-00007A270000}"/>
    <cellStyle name="Normal 3 3 3 2 6" xfId="2555" xr:uid="{00000000-0005-0000-0000-00007B270000}"/>
    <cellStyle name="Normal 3 3 3 2 6 2" xfId="5861" xr:uid="{00000000-0005-0000-0000-00007C270000}"/>
    <cellStyle name="Normal 3 3 3 2 6 2 2" xfId="11175" xr:uid="{00000000-0005-0000-0000-00007D270000}"/>
    <cellStyle name="Normal 3 3 3 2 6 3" xfId="8517" xr:uid="{00000000-0005-0000-0000-00007E270000}"/>
    <cellStyle name="Normal 3 3 3 2 7" xfId="3666" xr:uid="{00000000-0005-0000-0000-00007F270000}"/>
    <cellStyle name="Normal 3 3 3 2 7 2" xfId="9421" xr:uid="{00000000-0005-0000-0000-000080270000}"/>
    <cellStyle name="Normal 3 3 3 2 8" xfId="6758" xr:uid="{00000000-0005-0000-0000-000081270000}"/>
    <cellStyle name="Normal 3 3 3 3" xfId="228" xr:uid="{00000000-0005-0000-0000-000082270000}"/>
    <cellStyle name="Normal 3 3 3 3 2" xfId="239" xr:uid="{00000000-0005-0000-0000-000083270000}"/>
    <cellStyle name="Normal 3 3 3 3 2 10" xfId="3679" xr:uid="{00000000-0005-0000-0000-000084270000}"/>
    <cellStyle name="Normal 3 3 3 3 2 10 2" xfId="9434" xr:uid="{00000000-0005-0000-0000-000085270000}"/>
    <cellStyle name="Normal 3 3 3 3 2 11" xfId="6771" xr:uid="{00000000-0005-0000-0000-000086270000}"/>
    <cellStyle name="Normal 3 3 3 3 2 2" xfId="286" xr:uid="{00000000-0005-0000-0000-000087270000}"/>
    <cellStyle name="Normal 3 3 3 3 2 2 2" xfId="436" xr:uid="{00000000-0005-0000-0000-000088270000}"/>
    <cellStyle name="Normal 3 3 3 3 2 2 2 2" xfId="759" xr:uid="{00000000-0005-0000-0000-000089270000}"/>
    <cellStyle name="Normal 3 3 3 3 2 2 2 2 2" xfId="1446" xr:uid="{00000000-0005-0000-0000-00008A270000}"/>
    <cellStyle name="Normal 3 3 3 3 2 2 2 2 2 2" xfId="2378" xr:uid="{00000000-0005-0000-0000-00008B270000}"/>
    <cellStyle name="Normal 3 3 3 3 2 2 2 2 2 2 2" xfId="5725" xr:uid="{00000000-0005-0000-0000-00008C270000}"/>
    <cellStyle name="Normal 3 3 3 3 2 2 2 2 2 2 2 2" xfId="11039" xr:uid="{00000000-0005-0000-0000-00008D270000}"/>
    <cellStyle name="Normal 3 3 3 3 2 2 2 2 2 2 3" xfId="8381" xr:uid="{00000000-0005-0000-0000-00008E270000}"/>
    <cellStyle name="Normal 3 3 3 3 2 2 2 2 2 3" xfId="3299" xr:uid="{00000000-0005-0000-0000-00008F270000}"/>
    <cellStyle name="Normal 3 3 3 3 2 2 2 2 2 3 2" xfId="6602" xr:uid="{00000000-0005-0000-0000-000090270000}"/>
    <cellStyle name="Normal 3 3 3 3 2 2 2 2 2 3 2 2" xfId="11916" xr:uid="{00000000-0005-0000-0000-000091270000}"/>
    <cellStyle name="Normal 3 3 3 3 2 2 2 2 2 3 3" xfId="9258" xr:uid="{00000000-0005-0000-0000-000092270000}"/>
    <cellStyle name="Normal 3 3 3 3 2 2 2 2 2 4" xfId="4838" xr:uid="{00000000-0005-0000-0000-000093270000}"/>
    <cellStyle name="Normal 3 3 3 3 2 2 2 2 2 4 2" xfId="10162" xr:uid="{00000000-0005-0000-0000-000094270000}"/>
    <cellStyle name="Normal 3 3 3 3 2 2 2 2 2 5" xfId="7504" xr:uid="{00000000-0005-0000-0000-000095270000}"/>
    <cellStyle name="Normal 3 3 3 3 2 2 2 2 3" xfId="1940" xr:uid="{00000000-0005-0000-0000-000096270000}"/>
    <cellStyle name="Normal 3 3 3 3 2 2 2 2 3 2" xfId="5289" xr:uid="{00000000-0005-0000-0000-000097270000}"/>
    <cellStyle name="Normal 3 3 3 3 2 2 2 2 3 2 2" xfId="10603" xr:uid="{00000000-0005-0000-0000-000098270000}"/>
    <cellStyle name="Normal 3 3 3 3 2 2 2 2 3 3" xfId="7945" xr:uid="{00000000-0005-0000-0000-000099270000}"/>
    <cellStyle name="Normal 3 3 3 3 2 2 2 2 4" xfId="2861" xr:uid="{00000000-0005-0000-0000-00009A270000}"/>
    <cellStyle name="Normal 3 3 3 3 2 2 2 2 4 2" xfId="6166" xr:uid="{00000000-0005-0000-0000-00009B270000}"/>
    <cellStyle name="Normal 3 3 3 3 2 2 2 2 4 2 2" xfId="11480" xr:uid="{00000000-0005-0000-0000-00009C270000}"/>
    <cellStyle name="Normal 3 3 3 3 2 2 2 2 4 3" xfId="8822" xr:uid="{00000000-0005-0000-0000-00009D270000}"/>
    <cellStyle name="Normal 3 3 3 3 2 2 2 2 5" xfId="4153" xr:uid="{00000000-0005-0000-0000-00009E270000}"/>
    <cellStyle name="Normal 3 3 3 3 2 2 2 2 5 2" xfId="9726" xr:uid="{00000000-0005-0000-0000-00009F270000}"/>
    <cellStyle name="Normal 3 3 3 3 2 2 2 2 6" xfId="7068" xr:uid="{00000000-0005-0000-0000-0000A0270000}"/>
    <cellStyle name="Normal 3 3 3 3 2 2 2 3" xfId="1124" xr:uid="{00000000-0005-0000-0000-0000A1270000}"/>
    <cellStyle name="Normal 3 3 3 3 2 2 2 3 2" xfId="2178" xr:uid="{00000000-0005-0000-0000-0000A2270000}"/>
    <cellStyle name="Normal 3 3 3 3 2 2 2 3 2 2" xfId="5525" xr:uid="{00000000-0005-0000-0000-0000A3270000}"/>
    <cellStyle name="Normal 3 3 3 3 2 2 2 3 2 2 2" xfId="10839" xr:uid="{00000000-0005-0000-0000-0000A4270000}"/>
    <cellStyle name="Normal 3 3 3 3 2 2 2 3 2 3" xfId="8181" xr:uid="{00000000-0005-0000-0000-0000A5270000}"/>
    <cellStyle name="Normal 3 3 3 3 2 2 2 3 3" xfId="3099" xr:uid="{00000000-0005-0000-0000-0000A6270000}"/>
    <cellStyle name="Normal 3 3 3 3 2 2 2 3 3 2" xfId="6402" xr:uid="{00000000-0005-0000-0000-0000A7270000}"/>
    <cellStyle name="Normal 3 3 3 3 2 2 2 3 3 2 2" xfId="11716" xr:uid="{00000000-0005-0000-0000-0000A8270000}"/>
    <cellStyle name="Normal 3 3 3 3 2 2 2 3 3 3" xfId="9058" xr:uid="{00000000-0005-0000-0000-0000A9270000}"/>
    <cellStyle name="Normal 3 3 3 3 2 2 2 3 4" xfId="4516" xr:uid="{00000000-0005-0000-0000-0000AA270000}"/>
    <cellStyle name="Normal 3 3 3 3 2 2 2 3 4 2" xfId="9962" xr:uid="{00000000-0005-0000-0000-0000AB270000}"/>
    <cellStyle name="Normal 3 3 3 3 2 2 2 3 5" xfId="7304" xr:uid="{00000000-0005-0000-0000-0000AC270000}"/>
    <cellStyle name="Normal 3 3 3 3 2 2 2 4" xfId="1740" xr:uid="{00000000-0005-0000-0000-0000AD270000}"/>
    <cellStyle name="Normal 3 3 3 3 2 2 2 4 2" xfId="5089" xr:uid="{00000000-0005-0000-0000-0000AE270000}"/>
    <cellStyle name="Normal 3 3 3 3 2 2 2 4 2 2" xfId="10403" xr:uid="{00000000-0005-0000-0000-0000AF270000}"/>
    <cellStyle name="Normal 3 3 3 3 2 2 2 4 3" xfId="7745" xr:uid="{00000000-0005-0000-0000-0000B0270000}"/>
    <cellStyle name="Normal 3 3 3 3 2 2 2 5" xfId="2661" xr:uid="{00000000-0005-0000-0000-0000B1270000}"/>
    <cellStyle name="Normal 3 3 3 3 2 2 2 5 2" xfId="5966" xr:uid="{00000000-0005-0000-0000-0000B2270000}"/>
    <cellStyle name="Normal 3 3 3 3 2 2 2 5 2 2" xfId="11280" xr:uid="{00000000-0005-0000-0000-0000B3270000}"/>
    <cellStyle name="Normal 3 3 3 3 2 2 2 5 3" xfId="8622" xr:uid="{00000000-0005-0000-0000-0000B4270000}"/>
    <cellStyle name="Normal 3 3 3 3 2 2 2 6" xfId="3831" xr:uid="{00000000-0005-0000-0000-0000B5270000}"/>
    <cellStyle name="Normal 3 3 3 3 2 2 2 6 2" xfId="9526" xr:uid="{00000000-0005-0000-0000-0000B6270000}"/>
    <cellStyle name="Normal 3 3 3 3 2 2 2 7" xfId="6868" xr:uid="{00000000-0005-0000-0000-0000B7270000}"/>
    <cellStyle name="Normal 3 3 3 3 2 2 3" xfId="610" xr:uid="{00000000-0005-0000-0000-0000B8270000}"/>
    <cellStyle name="Normal 3 3 3 3 2 2 3 2" xfId="1297" xr:uid="{00000000-0005-0000-0000-0000B9270000}"/>
    <cellStyle name="Normal 3 3 3 3 2 2 3 2 2" xfId="2289" xr:uid="{00000000-0005-0000-0000-0000BA270000}"/>
    <cellStyle name="Normal 3 3 3 3 2 2 3 2 2 2" xfId="5636" xr:uid="{00000000-0005-0000-0000-0000BB270000}"/>
    <cellStyle name="Normal 3 3 3 3 2 2 3 2 2 2 2" xfId="10950" xr:uid="{00000000-0005-0000-0000-0000BC270000}"/>
    <cellStyle name="Normal 3 3 3 3 2 2 3 2 2 3" xfId="8292" xr:uid="{00000000-0005-0000-0000-0000BD270000}"/>
    <cellStyle name="Normal 3 3 3 3 2 2 3 2 3" xfId="3210" xr:uid="{00000000-0005-0000-0000-0000BE270000}"/>
    <cellStyle name="Normal 3 3 3 3 2 2 3 2 3 2" xfId="6513" xr:uid="{00000000-0005-0000-0000-0000BF270000}"/>
    <cellStyle name="Normal 3 3 3 3 2 2 3 2 3 2 2" xfId="11827" xr:uid="{00000000-0005-0000-0000-0000C0270000}"/>
    <cellStyle name="Normal 3 3 3 3 2 2 3 2 3 3" xfId="9169" xr:uid="{00000000-0005-0000-0000-0000C1270000}"/>
    <cellStyle name="Normal 3 3 3 3 2 2 3 2 4" xfId="4689" xr:uid="{00000000-0005-0000-0000-0000C2270000}"/>
    <cellStyle name="Normal 3 3 3 3 2 2 3 2 4 2" xfId="10073" xr:uid="{00000000-0005-0000-0000-0000C3270000}"/>
    <cellStyle name="Normal 3 3 3 3 2 2 3 2 5" xfId="7415" xr:uid="{00000000-0005-0000-0000-0000C4270000}"/>
    <cellStyle name="Normal 3 3 3 3 2 2 3 3" xfId="1851" xr:uid="{00000000-0005-0000-0000-0000C5270000}"/>
    <cellStyle name="Normal 3 3 3 3 2 2 3 3 2" xfId="5200" xr:uid="{00000000-0005-0000-0000-0000C6270000}"/>
    <cellStyle name="Normal 3 3 3 3 2 2 3 3 2 2" xfId="10514" xr:uid="{00000000-0005-0000-0000-0000C7270000}"/>
    <cellStyle name="Normal 3 3 3 3 2 2 3 3 3" xfId="7856" xr:uid="{00000000-0005-0000-0000-0000C8270000}"/>
    <cellStyle name="Normal 3 3 3 3 2 2 3 4" xfId="2772" xr:uid="{00000000-0005-0000-0000-0000C9270000}"/>
    <cellStyle name="Normal 3 3 3 3 2 2 3 4 2" xfId="6077" xr:uid="{00000000-0005-0000-0000-0000CA270000}"/>
    <cellStyle name="Normal 3 3 3 3 2 2 3 4 2 2" xfId="11391" xr:uid="{00000000-0005-0000-0000-0000CB270000}"/>
    <cellStyle name="Normal 3 3 3 3 2 2 3 4 3" xfId="8733" xr:uid="{00000000-0005-0000-0000-0000CC270000}"/>
    <cellStyle name="Normal 3 3 3 3 2 2 3 5" xfId="4004" xr:uid="{00000000-0005-0000-0000-0000CD270000}"/>
    <cellStyle name="Normal 3 3 3 3 2 2 3 5 2" xfId="9637" xr:uid="{00000000-0005-0000-0000-0000CE270000}"/>
    <cellStyle name="Normal 3 3 3 3 2 2 3 6" xfId="6979" xr:uid="{00000000-0005-0000-0000-0000CF270000}"/>
    <cellStyle name="Normal 3 3 3 3 2 2 4" xfId="975" xr:uid="{00000000-0005-0000-0000-0000D0270000}"/>
    <cellStyle name="Normal 3 3 3 3 2 2 4 2" xfId="2089" xr:uid="{00000000-0005-0000-0000-0000D1270000}"/>
    <cellStyle name="Normal 3 3 3 3 2 2 4 2 2" xfId="5436" xr:uid="{00000000-0005-0000-0000-0000D2270000}"/>
    <cellStyle name="Normal 3 3 3 3 2 2 4 2 2 2" xfId="10750" xr:uid="{00000000-0005-0000-0000-0000D3270000}"/>
    <cellStyle name="Normal 3 3 3 3 2 2 4 2 3" xfId="8092" xr:uid="{00000000-0005-0000-0000-0000D4270000}"/>
    <cellStyle name="Normal 3 3 3 3 2 2 4 3" xfId="3010" xr:uid="{00000000-0005-0000-0000-0000D5270000}"/>
    <cellStyle name="Normal 3 3 3 3 2 2 4 3 2" xfId="6313" xr:uid="{00000000-0005-0000-0000-0000D6270000}"/>
    <cellStyle name="Normal 3 3 3 3 2 2 4 3 2 2" xfId="11627" xr:uid="{00000000-0005-0000-0000-0000D7270000}"/>
    <cellStyle name="Normal 3 3 3 3 2 2 4 3 3" xfId="8969" xr:uid="{00000000-0005-0000-0000-0000D8270000}"/>
    <cellStyle name="Normal 3 3 3 3 2 2 4 4" xfId="4367" xr:uid="{00000000-0005-0000-0000-0000D9270000}"/>
    <cellStyle name="Normal 3 3 3 3 2 2 4 4 2" xfId="9873" xr:uid="{00000000-0005-0000-0000-0000DA270000}"/>
    <cellStyle name="Normal 3 3 3 3 2 2 4 5" xfId="7215" xr:uid="{00000000-0005-0000-0000-0000DB270000}"/>
    <cellStyle name="Normal 3 3 3 3 2 2 5" xfId="1651" xr:uid="{00000000-0005-0000-0000-0000DC270000}"/>
    <cellStyle name="Normal 3 3 3 3 2 2 5 2" xfId="5000" xr:uid="{00000000-0005-0000-0000-0000DD270000}"/>
    <cellStyle name="Normal 3 3 3 3 2 2 5 2 2" xfId="10314" xr:uid="{00000000-0005-0000-0000-0000DE270000}"/>
    <cellStyle name="Normal 3 3 3 3 2 2 5 3" xfId="7656" xr:uid="{00000000-0005-0000-0000-0000DF270000}"/>
    <cellStyle name="Normal 3 3 3 3 2 2 6" xfId="2572" xr:uid="{00000000-0005-0000-0000-0000E0270000}"/>
    <cellStyle name="Normal 3 3 3 3 2 2 6 2" xfId="5877" xr:uid="{00000000-0005-0000-0000-0000E1270000}"/>
    <cellStyle name="Normal 3 3 3 3 2 2 6 2 2" xfId="11191" xr:uid="{00000000-0005-0000-0000-0000E2270000}"/>
    <cellStyle name="Normal 3 3 3 3 2 2 6 3" xfId="8533" xr:uid="{00000000-0005-0000-0000-0000E3270000}"/>
    <cellStyle name="Normal 3 3 3 3 2 2 7" xfId="3682" xr:uid="{00000000-0005-0000-0000-0000E4270000}"/>
    <cellStyle name="Normal 3 3 3 3 2 2 7 2" xfId="9437" xr:uid="{00000000-0005-0000-0000-0000E5270000}"/>
    <cellStyle name="Normal 3 3 3 3 2 2 8" xfId="6779" xr:uid="{00000000-0005-0000-0000-0000E6270000}"/>
    <cellStyle name="Normal 3 3 3 3 2 3" xfId="295" xr:uid="{00000000-0005-0000-0000-0000E7270000}"/>
    <cellStyle name="Normal 3 3 3 3 2 3 2" xfId="444" xr:uid="{00000000-0005-0000-0000-0000E8270000}"/>
    <cellStyle name="Normal 3 3 3 3 2 3 2 2" xfId="767" xr:uid="{00000000-0005-0000-0000-0000E9270000}"/>
    <cellStyle name="Normal 3 3 3 3 2 3 2 2 2" xfId="1454" xr:uid="{00000000-0005-0000-0000-0000EA270000}"/>
    <cellStyle name="Normal 3 3 3 3 2 3 2 2 2 2" xfId="2384" xr:uid="{00000000-0005-0000-0000-0000EB270000}"/>
    <cellStyle name="Normal 3 3 3 3 2 3 2 2 2 2 2" xfId="5731" xr:uid="{00000000-0005-0000-0000-0000EC270000}"/>
    <cellStyle name="Normal 3 3 3 3 2 3 2 2 2 2 2 2" xfId="11045" xr:uid="{00000000-0005-0000-0000-0000ED270000}"/>
    <cellStyle name="Normal 3 3 3 3 2 3 2 2 2 2 3" xfId="8387" xr:uid="{00000000-0005-0000-0000-0000EE270000}"/>
    <cellStyle name="Normal 3 3 3 3 2 3 2 2 2 3" xfId="3305" xr:uid="{00000000-0005-0000-0000-0000EF270000}"/>
    <cellStyle name="Normal 3 3 3 3 2 3 2 2 2 3 2" xfId="6608" xr:uid="{00000000-0005-0000-0000-0000F0270000}"/>
    <cellStyle name="Normal 3 3 3 3 2 3 2 2 2 3 2 2" xfId="11922" xr:uid="{00000000-0005-0000-0000-0000F1270000}"/>
    <cellStyle name="Normal 3 3 3 3 2 3 2 2 2 3 3" xfId="9264" xr:uid="{00000000-0005-0000-0000-0000F2270000}"/>
    <cellStyle name="Normal 3 3 3 3 2 3 2 2 2 4" xfId="4846" xr:uid="{00000000-0005-0000-0000-0000F3270000}"/>
    <cellStyle name="Normal 3 3 3 3 2 3 2 2 2 4 2" xfId="10168" xr:uid="{00000000-0005-0000-0000-0000F4270000}"/>
    <cellStyle name="Normal 3 3 3 3 2 3 2 2 2 5" xfId="7510" xr:uid="{00000000-0005-0000-0000-0000F5270000}"/>
    <cellStyle name="Normal 3 3 3 3 2 3 2 2 3" xfId="1946" xr:uid="{00000000-0005-0000-0000-0000F6270000}"/>
    <cellStyle name="Normal 3 3 3 3 2 3 2 2 3 2" xfId="5295" xr:uid="{00000000-0005-0000-0000-0000F7270000}"/>
    <cellStyle name="Normal 3 3 3 3 2 3 2 2 3 2 2" xfId="10609" xr:uid="{00000000-0005-0000-0000-0000F8270000}"/>
    <cellStyle name="Normal 3 3 3 3 2 3 2 2 3 3" xfId="7951" xr:uid="{00000000-0005-0000-0000-0000F9270000}"/>
    <cellStyle name="Normal 3 3 3 3 2 3 2 2 4" xfId="2867" xr:uid="{00000000-0005-0000-0000-0000FA270000}"/>
    <cellStyle name="Normal 3 3 3 3 2 3 2 2 4 2" xfId="6172" xr:uid="{00000000-0005-0000-0000-0000FB270000}"/>
    <cellStyle name="Normal 3 3 3 3 2 3 2 2 4 2 2" xfId="11486" xr:uid="{00000000-0005-0000-0000-0000FC270000}"/>
    <cellStyle name="Normal 3 3 3 3 2 3 2 2 4 3" xfId="8828" xr:uid="{00000000-0005-0000-0000-0000FD270000}"/>
    <cellStyle name="Normal 3 3 3 3 2 3 2 2 5" xfId="4161" xr:uid="{00000000-0005-0000-0000-0000FE270000}"/>
    <cellStyle name="Normal 3 3 3 3 2 3 2 2 5 2" xfId="9732" xr:uid="{00000000-0005-0000-0000-0000FF270000}"/>
    <cellStyle name="Normal 3 3 3 3 2 3 2 2 6" xfId="7074" xr:uid="{00000000-0005-0000-0000-000000280000}"/>
    <cellStyle name="Normal 3 3 3 3 2 3 2 3" xfId="1132" xr:uid="{00000000-0005-0000-0000-000001280000}"/>
    <cellStyle name="Normal 3 3 3 3 2 3 2 3 2" xfId="2184" xr:uid="{00000000-0005-0000-0000-000002280000}"/>
    <cellStyle name="Normal 3 3 3 3 2 3 2 3 2 2" xfId="5531" xr:uid="{00000000-0005-0000-0000-000003280000}"/>
    <cellStyle name="Normal 3 3 3 3 2 3 2 3 2 2 2" xfId="10845" xr:uid="{00000000-0005-0000-0000-000004280000}"/>
    <cellStyle name="Normal 3 3 3 3 2 3 2 3 2 3" xfId="8187" xr:uid="{00000000-0005-0000-0000-000005280000}"/>
    <cellStyle name="Normal 3 3 3 3 2 3 2 3 3" xfId="3105" xr:uid="{00000000-0005-0000-0000-000006280000}"/>
    <cellStyle name="Normal 3 3 3 3 2 3 2 3 3 2" xfId="6408" xr:uid="{00000000-0005-0000-0000-000007280000}"/>
    <cellStyle name="Normal 3 3 3 3 2 3 2 3 3 2 2" xfId="11722" xr:uid="{00000000-0005-0000-0000-000008280000}"/>
    <cellStyle name="Normal 3 3 3 3 2 3 2 3 3 3" xfId="9064" xr:uid="{00000000-0005-0000-0000-000009280000}"/>
    <cellStyle name="Normal 3 3 3 3 2 3 2 3 4" xfId="4524" xr:uid="{00000000-0005-0000-0000-00000A280000}"/>
    <cellStyle name="Normal 3 3 3 3 2 3 2 3 4 2" xfId="9968" xr:uid="{00000000-0005-0000-0000-00000B280000}"/>
    <cellStyle name="Normal 3 3 3 3 2 3 2 3 5" xfId="7310" xr:uid="{00000000-0005-0000-0000-00000C280000}"/>
    <cellStyle name="Normal 3 3 3 3 2 3 2 4" xfId="1746" xr:uid="{00000000-0005-0000-0000-00000D280000}"/>
    <cellStyle name="Normal 3 3 3 3 2 3 2 4 2" xfId="5095" xr:uid="{00000000-0005-0000-0000-00000E280000}"/>
    <cellStyle name="Normal 3 3 3 3 2 3 2 4 2 2" xfId="10409" xr:uid="{00000000-0005-0000-0000-00000F280000}"/>
    <cellStyle name="Normal 3 3 3 3 2 3 2 4 3" xfId="7751" xr:uid="{00000000-0005-0000-0000-000010280000}"/>
    <cellStyle name="Normal 3 3 3 3 2 3 2 5" xfId="2667" xr:uid="{00000000-0005-0000-0000-000011280000}"/>
    <cellStyle name="Normal 3 3 3 3 2 3 2 5 2" xfId="5972" xr:uid="{00000000-0005-0000-0000-000012280000}"/>
    <cellStyle name="Normal 3 3 3 3 2 3 2 5 2 2" xfId="11286" xr:uid="{00000000-0005-0000-0000-000013280000}"/>
    <cellStyle name="Normal 3 3 3 3 2 3 2 5 3" xfId="8628" xr:uid="{00000000-0005-0000-0000-000014280000}"/>
    <cellStyle name="Normal 3 3 3 3 2 3 2 6" xfId="3839" xr:uid="{00000000-0005-0000-0000-000015280000}"/>
    <cellStyle name="Normal 3 3 3 3 2 3 2 6 2" xfId="9532" xr:uid="{00000000-0005-0000-0000-000016280000}"/>
    <cellStyle name="Normal 3 3 3 3 2 3 2 7" xfId="6874" xr:uid="{00000000-0005-0000-0000-000017280000}"/>
    <cellStyle name="Normal 3 3 3 3 2 3 3" xfId="618" xr:uid="{00000000-0005-0000-0000-000018280000}"/>
    <cellStyle name="Normal 3 3 3 3 2 3 3 2" xfId="1305" xr:uid="{00000000-0005-0000-0000-000019280000}"/>
    <cellStyle name="Normal 3 3 3 3 2 3 3 2 2" xfId="2295" xr:uid="{00000000-0005-0000-0000-00001A280000}"/>
    <cellStyle name="Normal 3 3 3 3 2 3 3 2 2 2" xfId="5642" xr:uid="{00000000-0005-0000-0000-00001B280000}"/>
    <cellStyle name="Normal 3 3 3 3 2 3 3 2 2 2 2" xfId="10956" xr:uid="{00000000-0005-0000-0000-00001C280000}"/>
    <cellStyle name="Normal 3 3 3 3 2 3 3 2 2 3" xfId="8298" xr:uid="{00000000-0005-0000-0000-00001D280000}"/>
    <cellStyle name="Normal 3 3 3 3 2 3 3 2 3" xfId="3216" xr:uid="{00000000-0005-0000-0000-00001E280000}"/>
    <cellStyle name="Normal 3 3 3 3 2 3 3 2 3 2" xfId="6519" xr:uid="{00000000-0005-0000-0000-00001F280000}"/>
    <cellStyle name="Normal 3 3 3 3 2 3 3 2 3 2 2" xfId="11833" xr:uid="{00000000-0005-0000-0000-000020280000}"/>
    <cellStyle name="Normal 3 3 3 3 2 3 3 2 3 3" xfId="9175" xr:uid="{00000000-0005-0000-0000-000021280000}"/>
    <cellStyle name="Normal 3 3 3 3 2 3 3 2 4" xfId="4697" xr:uid="{00000000-0005-0000-0000-000022280000}"/>
    <cellStyle name="Normal 3 3 3 3 2 3 3 2 4 2" xfId="10079" xr:uid="{00000000-0005-0000-0000-000023280000}"/>
    <cellStyle name="Normal 3 3 3 3 2 3 3 2 5" xfId="7421" xr:uid="{00000000-0005-0000-0000-000024280000}"/>
    <cellStyle name="Normal 3 3 3 3 2 3 3 3" xfId="1857" xr:uid="{00000000-0005-0000-0000-000025280000}"/>
    <cellStyle name="Normal 3 3 3 3 2 3 3 3 2" xfId="5206" xr:uid="{00000000-0005-0000-0000-000026280000}"/>
    <cellStyle name="Normal 3 3 3 3 2 3 3 3 2 2" xfId="10520" xr:uid="{00000000-0005-0000-0000-000027280000}"/>
    <cellStyle name="Normal 3 3 3 3 2 3 3 3 3" xfId="7862" xr:uid="{00000000-0005-0000-0000-000028280000}"/>
    <cellStyle name="Normal 3 3 3 3 2 3 3 4" xfId="2778" xr:uid="{00000000-0005-0000-0000-000029280000}"/>
    <cellStyle name="Normal 3 3 3 3 2 3 3 4 2" xfId="6083" xr:uid="{00000000-0005-0000-0000-00002A280000}"/>
    <cellStyle name="Normal 3 3 3 3 2 3 3 4 2 2" xfId="11397" xr:uid="{00000000-0005-0000-0000-00002B280000}"/>
    <cellStyle name="Normal 3 3 3 3 2 3 3 4 3" xfId="8739" xr:uid="{00000000-0005-0000-0000-00002C280000}"/>
    <cellStyle name="Normal 3 3 3 3 2 3 3 5" xfId="4012" xr:uid="{00000000-0005-0000-0000-00002D280000}"/>
    <cellStyle name="Normal 3 3 3 3 2 3 3 5 2" xfId="9643" xr:uid="{00000000-0005-0000-0000-00002E280000}"/>
    <cellStyle name="Normal 3 3 3 3 2 3 3 6" xfId="6985" xr:uid="{00000000-0005-0000-0000-00002F280000}"/>
    <cellStyle name="Normal 3 3 3 3 2 3 4" xfId="983" xr:uid="{00000000-0005-0000-0000-000030280000}"/>
    <cellStyle name="Normal 3 3 3 3 2 3 4 2" xfId="2095" xr:uid="{00000000-0005-0000-0000-000031280000}"/>
    <cellStyle name="Normal 3 3 3 3 2 3 4 2 2" xfId="5442" xr:uid="{00000000-0005-0000-0000-000032280000}"/>
    <cellStyle name="Normal 3 3 3 3 2 3 4 2 2 2" xfId="10756" xr:uid="{00000000-0005-0000-0000-000033280000}"/>
    <cellStyle name="Normal 3 3 3 3 2 3 4 2 3" xfId="8098" xr:uid="{00000000-0005-0000-0000-000034280000}"/>
    <cellStyle name="Normal 3 3 3 3 2 3 4 3" xfId="3016" xr:uid="{00000000-0005-0000-0000-000035280000}"/>
    <cellStyle name="Normal 3 3 3 3 2 3 4 3 2" xfId="6319" xr:uid="{00000000-0005-0000-0000-000036280000}"/>
    <cellStyle name="Normal 3 3 3 3 2 3 4 3 2 2" xfId="11633" xr:uid="{00000000-0005-0000-0000-000037280000}"/>
    <cellStyle name="Normal 3 3 3 3 2 3 4 3 3" xfId="8975" xr:uid="{00000000-0005-0000-0000-000038280000}"/>
    <cellStyle name="Normal 3 3 3 3 2 3 4 4" xfId="4375" xr:uid="{00000000-0005-0000-0000-000039280000}"/>
    <cellStyle name="Normal 3 3 3 3 2 3 4 4 2" xfId="9879" xr:uid="{00000000-0005-0000-0000-00003A280000}"/>
    <cellStyle name="Normal 3 3 3 3 2 3 4 5" xfId="7221" xr:uid="{00000000-0005-0000-0000-00003B280000}"/>
    <cellStyle name="Normal 3 3 3 3 2 3 5" xfId="1657" xr:uid="{00000000-0005-0000-0000-00003C280000}"/>
    <cellStyle name="Normal 3 3 3 3 2 3 5 2" xfId="5006" xr:uid="{00000000-0005-0000-0000-00003D280000}"/>
    <cellStyle name="Normal 3 3 3 3 2 3 5 2 2" xfId="10320" xr:uid="{00000000-0005-0000-0000-00003E280000}"/>
    <cellStyle name="Normal 3 3 3 3 2 3 5 3" xfId="7662" xr:uid="{00000000-0005-0000-0000-00003F280000}"/>
    <cellStyle name="Normal 3 3 3 3 2 3 6" xfId="2578" xr:uid="{00000000-0005-0000-0000-000040280000}"/>
    <cellStyle name="Normal 3 3 3 3 2 3 6 2" xfId="5883" xr:uid="{00000000-0005-0000-0000-000041280000}"/>
    <cellStyle name="Normal 3 3 3 3 2 3 6 2 2" xfId="11197" xr:uid="{00000000-0005-0000-0000-000042280000}"/>
    <cellStyle name="Normal 3 3 3 3 2 3 6 3" xfId="8539" xr:uid="{00000000-0005-0000-0000-000043280000}"/>
    <cellStyle name="Normal 3 3 3 3 2 3 7" xfId="3690" xr:uid="{00000000-0005-0000-0000-000044280000}"/>
    <cellStyle name="Normal 3 3 3 3 2 3 7 2" xfId="9443" xr:uid="{00000000-0005-0000-0000-000045280000}"/>
    <cellStyle name="Normal 3 3 3 3 2 3 8" xfId="6785" xr:uid="{00000000-0005-0000-0000-000046280000}"/>
    <cellStyle name="Normal 3 3 3 3 2 4" xfId="451" xr:uid="{00000000-0005-0000-0000-000047280000}"/>
    <cellStyle name="Normal 3 3 3 3 2 4 2" xfId="457" xr:uid="{00000000-0005-0000-0000-000048280000}"/>
    <cellStyle name="Normal 3 3 3 3 2 4 2 2" xfId="779" xr:uid="{00000000-0005-0000-0000-000049280000}"/>
    <cellStyle name="Normal 3 3 3 3 2 4 2 2 2" xfId="1466" xr:uid="{00000000-0005-0000-0000-00004A280000}"/>
    <cellStyle name="Normal 3 3 3 3 2 4 2 2 2 2" xfId="2394" xr:uid="{00000000-0005-0000-0000-00004B280000}"/>
    <cellStyle name="Normal 3 3 3 3 2 4 2 2 2 2 2" xfId="5741" xr:uid="{00000000-0005-0000-0000-00004C280000}"/>
    <cellStyle name="Normal 3 3 3 3 2 4 2 2 2 2 2 2" xfId="11055" xr:uid="{00000000-0005-0000-0000-00004D280000}"/>
    <cellStyle name="Normal 3 3 3 3 2 4 2 2 2 2 3" xfId="8397" xr:uid="{00000000-0005-0000-0000-00004E280000}"/>
    <cellStyle name="Normal 3 3 3 3 2 4 2 2 2 3" xfId="3315" xr:uid="{00000000-0005-0000-0000-00004F280000}"/>
    <cellStyle name="Normal 3 3 3 3 2 4 2 2 2 3 2" xfId="6618" xr:uid="{00000000-0005-0000-0000-000050280000}"/>
    <cellStyle name="Normal 3 3 3 3 2 4 2 2 2 3 2 2" xfId="11932" xr:uid="{00000000-0005-0000-0000-000051280000}"/>
    <cellStyle name="Normal 3 3 3 3 2 4 2 2 2 3 3" xfId="9274" xr:uid="{00000000-0005-0000-0000-000052280000}"/>
    <cellStyle name="Normal 3 3 3 3 2 4 2 2 2 4" xfId="4858" xr:uid="{00000000-0005-0000-0000-000053280000}"/>
    <cellStyle name="Normal 3 3 3 3 2 4 2 2 2 4 2" xfId="10178" xr:uid="{00000000-0005-0000-0000-000054280000}"/>
    <cellStyle name="Normal 3 3 3 3 2 4 2 2 2 5" xfId="7520" xr:uid="{00000000-0005-0000-0000-000055280000}"/>
    <cellStyle name="Normal 3 3 3 3 2 4 2 2 3" xfId="1956" xr:uid="{00000000-0005-0000-0000-000056280000}"/>
    <cellStyle name="Normal 3 3 3 3 2 4 2 2 3 2" xfId="5305" xr:uid="{00000000-0005-0000-0000-000057280000}"/>
    <cellStyle name="Normal 3 3 3 3 2 4 2 2 3 2 2" xfId="10619" xr:uid="{00000000-0005-0000-0000-000058280000}"/>
    <cellStyle name="Normal 3 3 3 3 2 4 2 2 3 3" xfId="7961" xr:uid="{00000000-0005-0000-0000-000059280000}"/>
    <cellStyle name="Normal 3 3 3 3 2 4 2 2 4" xfId="2877" xr:uid="{00000000-0005-0000-0000-00005A280000}"/>
    <cellStyle name="Normal 3 3 3 3 2 4 2 2 4 2" xfId="6182" xr:uid="{00000000-0005-0000-0000-00005B280000}"/>
    <cellStyle name="Normal 3 3 3 3 2 4 2 2 4 2 2" xfId="11496" xr:uid="{00000000-0005-0000-0000-00005C280000}"/>
    <cellStyle name="Normal 3 3 3 3 2 4 2 2 4 3" xfId="8838" xr:uid="{00000000-0005-0000-0000-00005D280000}"/>
    <cellStyle name="Normal 3 3 3 3 2 4 2 2 5" xfId="4173" xr:uid="{00000000-0005-0000-0000-00005E280000}"/>
    <cellStyle name="Normal 3 3 3 3 2 4 2 2 5 2" xfId="9742" xr:uid="{00000000-0005-0000-0000-00005F280000}"/>
    <cellStyle name="Normal 3 3 3 3 2 4 2 2 6" xfId="7084" xr:uid="{00000000-0005-0000-0000-000060280000}"/>
    <cellStyle name="Normal 3 3 3 3 2 4 2 3" xfId="1144" xr:uid="{00000000-0005-0000-0000-000061280000}"/>
    <cellStyle name="Normal 3 3 3 3 2 4 2 3 2" xfId="2194" xr:uid="{00000000-0005-0000-0000-000062280000}"/>
    <cellStyle name="Normal 3 3 3 3 2 4 2 3 2 2" xfId="5541" xr:uid="{00000000-0005-0000-0000-000063280000}"/>
    <cellStyle name="Normal 3 3 3 3 2 4 2 3 2 2 2" xfId="10855" xr:uid="{00000000-0005-0000-0000-000064280000}"/>
    <cellStyle name="Normal 3 3 3 3 2 4 2 3 2 3" xfId="8197" xr:uid="{00000000-0005-0000-0000-000065280000}"/>
    <cellStyle name="Normal 3 3 3 3 2 4 2 3 3" xfId="3115" xr:uid="{00000000-0005-0000-0000-000066280000}"/>
    <cellStyle name="Normal 3 3 3 3 2 4 2 3 3 2" xfId="6418" xr:uid="{00000000-0005-0000-0000-000067280000}"/>
    <cellStyle name="Normal 3 3 3 3 2 4 2 3 3 2 2" xfId="11732" xr:uid="{00000000-0005-0000-0000-000068280000}"/>
    <cellStyle name="Normal 3 3 3 3 2 4 2 3 3 3" xfId="9074" xr:uid="{00000000-0005-0000-0000-000069280000}"/>
    <cellStyle name="Normal 3 3 3 3 2 4 2 3 4" xfId="4536" xr:uid="{00000000-0005-0000-0000-00006A280000}"/>
    <cellStyle name="Normal 3 3 3 3 2 4 2 3 4 2" xfId="9978" xr:uid="{00000000-0005-0000-0000-00006B280000}"/>
    <cellStyle name="Normal 3 3 3 3 2 4 2 3 5" xfId="7320" xr:uid="{00000000-0005-0000-0000-00006C280000}"/>
    <cellStyle name="Normal 3 3 3 3 2 4 2 4" xfId="1756" xr:uid="{00000000-0005-0000-0000-00006D280000}"/>
    <cellStyle name="Normal 3 3 3 3 2 4 2 4 2" xfId="5105" xr:uid="{00000000-0005-0000-0000-00006E280000}"/>
    <cellStyle name="Normal 3 3 3 3 2 4 2 4 2 2" xfId="10419" xr:uid="{00000000-0005-0000-0000-00006F280000}"/>
    <cellStyle name="Normal 3 3 3 3 2 4 2 4 3" xfId="7761" xr:uid="{00000000-0005-0000-0000-000070280000}"/>
    <cellStyle name="Normal 3 3 3 3 2 4 2 5" xfId="2677" xr:uid="{00000000-0005-0000-0000-000071280000}"/>
    <cellStyle name="Normal 3 3 3 3 2 4 2 5 2" xfId="5982" xr:uid="{00000000-0005-0000-0000-000072280000}"/>
    <cellStyle name="Normal 3 3 3 3 2 4 2 5 2 2" xfId="11296" xr:uid="{00000000-0005-0000-0000-000073280000}"/>
    <cellStyle name="Normal 3 3 3 3 2 4 2 5 3" xfId="8638" xr:uid="{00000000-0005-0000-0000-000074280000}"/>
    <cellStyle name="Normal 3 3 3 3 2 4 2 6" xfId="3851" xr:uid="{00000000-0005-0000-0000-000075280000}"/>
    <cellStyle name="Normal 3 3 3 3 2 4 2 6 2" xfId="9542" xr:uid="{00000000-0005-0000-0000-000076280000}"/>
    <cellStyle name="Normal 3 3 3 3 2 4 2 7" xfId="6884" xr:uid="{00000000-0005-0000-0000-000077280000}"/>
    <cellStyle name="Normal 3 3 3 3 2 4 3" xfId="773" xr:uid="{00000000-0005-0000-0000-000078280000}"/>
    <cellStyle name="Normal 3 3 3 3 2 4 3 2" xfId="1460" xr:uid="{00000000-0005-0000-0000-000079280000}"/>
    <cellStyle name="Normal 3 3 3 3 2 4 3 2 2" xfId="2389" xr:uid="{00000000-0005-0000-0000-00007A280000}"/>
    <cellStyle name="Normal 3 3 3 3 2 4 3 2 2 2" xfId="5736" xr:uid="{00000000-0005-0000-0000-00007B280000}"/>
    <cellStyle name="Normal 3 3 3 3 2 4 3 2 2 2 2" xfId="11050" xr:uid="{00000000-0005-0000-0000-00007C280000}"/>
    <cellStyle name="Normal 3 3 3 3 2 4 3 2 2 3" xfId="8392" xr:uid="{00000000-0005-0000-0000-00007D280000}"/>
    <cellStyle name="Normal 3 3 3 3 2 4 3 2 3" xfId="3310" xr:uid="{00000000-0005-0000-0000-00007E280000}"/>
    <cellStyle name="Normal 3 3 3 3 2 4 3 2 3 2" xfId="6613" xr:uid="{00000000-0005-0000-0000-00007F280000}"/>
    <cellStyle name="Normal 3 3 3 3 2 4 3 2 3 2 2" xfId="11927" xr:uid="{00000000-0005-0000-0000-000080280000}"/>
    <cellStyle name="Normal 3 3 3 3 2 4 3 2 3 3" xfId="9269" xr:uid="{00000000-0005-0000-0000-000081280000}"/>
    <cellStyle name="Normal 3 3 3 3 2 4 3 2 4" xfId="4852" xr:uid="{00000000-0005-0000-0000-000082280000}"/>
    <cellStyle name="Normal 3 3 3 3 2 4 3 2 4 2" xfId="10173" xr:uid="{00000000-0005-0000-0000-000083280000}"/>
    <cellStyle name="Normal 3 3 3 3 2 4 3 2 5" xfId="7515" xr:uid="{00000000-0005-0000-0000-000084280000}"/>
    <cellStyle name="Normal 3 3 3 3 2 4 3 3" xfId="1951" xr:uid="{00000000-0005-0000-0000-000085280000}"/>
    <cellStyle name="Normal 3 3 3 3 2 4 3 3 2" xfId="5300" xr:uid="{00000000-0005-0000-0000-000086280000}"/>
    <cellStyle name="Normal 3 3 3 3 2 4 3 3 2 2" xfId="10614" xr:uid="{00000000-0005-0000-0000-000087280000}"/>
    <cellStyle name="Normal 3 3 3 3 2 4 3 3 3" xfId="7956" xr:uid="{00000000-0005-0000-0000-000088280000}"/>
    <cellStyle name="Normal 3 3 3 3 2 4 3 4" xfId="2872" xr:uid="{00000000-0005-0000-0000-000089280000}"/>
    <cellStyle name="Normal 3 3 3 3 2 4 3 4 2" xfId="6177" xr:uid="{00000000-0005-0000-0000-00008A280000}"/>
    <cellStyle name="Normal 3 3 3 3 2 4 3 4 2 2" xfId="11491" xr:uid="{00000000-0005-0000-0000-00008B280000}"/>
    <cellStyle name="Normal 3 3 3 3 2 4 3 4 3" xfId="8833" xr:uid="{00000000-0005-0000-0000-00008C280000}"/>
    <cellStyle name="Normal 3 3 3 3 2 4 3 5" xfId="4167" xr:uid="{00000000-0005-0000-0000-00008D280000}"/>
    <cellStyle name="Normal 3 3 3 3 2 4 3 5 2" xfId="9737" xr:uid="{00000000-0005-0000-0000-00008E280000}"/>
    <cellStyle name="Normal 3 3 3 3 2 4 3 6" xfId="7079" xr:uid="{00000000-0005-0000-0000-00008F280000}"/>
    <cellStyle name="Normal 3 3 3 3 2 4 4" xfId="1138" xr:uid="{00000000-0005-0000-0000-000090280000}"/>
    <cellStyle name="Normal 3 3 3 3 2 4 4 2" xfId="2189" xr:uid="{00000000-0005-0000-0000-000091280000}"/>
    <cellStyle name="Normal 3 3 3 3 2 4 4 2 2" xfId="5536" xr:uid="{00000000-0005-0000-0000-000092280000}"/>
    <cellStyle name="Normal 3 3 3 3 2 4 4 2 2 2" xfId="10850" xr:uid="{00000000-0005-0000-0000-000093280000}"/>
    <cellStyle name="Normal 3 3 3 3 2 4 4 2 3" xfId="8192" xr:uid="{00000000-0005-0000-0000-000094280000}"/>
    <cellStyle name="Normal 3 3 3 3 2 4 4 3" xfId="3110" xr:uid="{00000000-0005-0000-0000-000095280000}"/>
    <cellStyle name="Normal 3 3 3 3 2 4 4 3 2" xfId="6413" xr:uid="{00000000-0005-0000-0000-000096280000}"/>
    <cellStyle name="Normal 3 3 3 3 2 4 4 3 2 2" xfId="11727" xr:uid="{00000000-0005-0000-0000-000097280000}"/>
    <cellStyle name="Normal 3 3 3 3 2 4 4 3 3" xfId="9069" xr:uid="{00000000-0005-0000-0000-000098280000}"/>
    <cellStyle name="Normal 3 3 3 3 2 4 4 4" xfId="4530" xr:uid="{00000000-0005-0000-0000-000099280000}"/>
    <cellStyle name="Normal 3 3 3 3 2 4 4 4 2" xfId="9973" xr:uid="{00000000-0005-0000-0000-00009A280000}"/>
    <cellStyle name="Normal 3 3 3 3 2 4 4 5" xfId="7315" xr:uid="{00000000-0005-0000-0000-00009B280000}"/>
    <cellStyle name="Normal 3 3 3 3 2 4 5" xfId="1751" xr:uid="{00000000-0005-0000-0000-00009C280000}"/>
    <cellStyle name="Normal 3 3 3 3 2 4 5 2" xfId="5100" xr:uid="{00000000-0005-0000-0000-00009D280000}"/>
    <cellStyle name="Normal 3 3 3 3 2 4 5 2 2" xfId="10414" xr:uid="{00000000-0005-0000-0000-00009E280000}"/>
    <cellStyle name="Normal 3 3 3 3 2 4 5 3" xfId="7756" xr:uid="{00000000-0005-0000-0000-00009F280000}"/>
    <cellStyle name="Normal 3 3 3 3 2 4 6" xfId="2672" xr:uid="{00000000-0005-0000-0000-0000A0280000}"/>
    <cellStyle name="Normal 3 3 3 3 2 4 6 2" xfId="5977" xr:uid="{00000000-0005-0000-0000-0000A1280000}"/>
    <cellStyle name="Normal 3 3 3 3 2 4 6 2 2" xfId="11291" xr:uid="{00000000-0005-0000-0000-0000A2280000}"/>
    <cellStyle name="Normal 3 3 3 3 2 4 6 3" xfId="8633" xr:uid="{00000000-0005-0000-0000-0000A3280000}"/>
    <cellStyle name="Normal 3 3 3 3 2 4 7" xfId="3845" xr:uid="{00000000-0005-0000-0000-0000A4280000}"/>
    <cellStyle name="Normal 3 3 3 3 2 4 7 2" xfId="9537" xr:uid="{00000000-0005-0000-0000-0000A5280000}"/>
    <cellStyle name="Normal 3 3 3 3 2 4 8" xfId="6879" xr:uid="{00000000-0005-0000-0000-0000A6280000}"/>
    <cellStyle name="Normal 3 3 3 3 2 5" xfId="433" xr:uid="{00000000-0005-0000-0000-0000A7280000}"/>
    <cellStyle name="Normal 3 3 3 3 2 5 2" xfId="756" xr:uid="{00000000-0005-0000-0000-0000A8280000}"/>
    <cellStyle name="Normal 3 3 3 3 2 5 2 2" xfId="1443" xr:uid="{00000000-0005-0000-0000-0000A9280000}"/>
    <cellStyle name="Normal 3 3 3 3 2 5 2 2 2" xfId="2375" xr:uid="{00000000-0005-0000-0000-0000AA280000}"/>
    <cellStyle name="Normal 3 3 3 3 2 5 2 2 2 2" xfId="5722" xr:uid="{00000000-0005-0000-0000-0000AB280000}"/>
    <cellStyle name="Normal 3 3 3 3 2 5 2 2 2 2 2" xfId="11036" xr:uid="{00000000-0005-0000-0000-0000AC280000}"/>
    <cellStyle name="Normal 3 3 3 3 2 5 2 2 2 3" xfId="8378" xr:uid="{00000000-0005-0000-0000-0000AD280000}"/>
    <cellStyle name="Normal 3 3 3 3 2 5 2 2 3" xfId="3296" xr:uid="{00000000-0005-0000-0000-0000AE280000}"/>
    <cellStyle name="Normal 3 3 3 3 2 5 2 2 3 2" xfId="6599" xr:uid="{00000000-0005-0000-0000-0000AF280000}"/>
    <cellStyle name="Normal 3 3 3 3 2 5 2 2 3 2 2" xfId="11913" xr:uid="{00000000-0005-0000-0000-0000B0280000}"/>
    <cellStyle name="Normal 3 3 3 3 2 5 2 2 3 3" xfId="9255" xr:uid="{00000000-0005-0000-0000-0000B1280000}"/>
    <cellStyle name="Normal 3 3 3 3 2 5 2 2 4" xfId="4835" xr:uid="{00000000-0005-0000-0000-0000B2280000}"/>
    <cellStyle name="Normal 3 3 3 3 2 5 2 2 4 2" xfId="10159" xr:uid="{00000000-0005-0000-0000-0000B3280000}"/>
    <cellStyle name="Normal 3 3 3 3 2 5 2 2 5" xfId="7501" xr:uid="{00000000-0005-0000-0000-0000B4280000}"/>
    <cellStyle name="Normal 3 3 3 3 2 5 2 3" xfId="1937" xr:uid="{00000000-0005-0000-0000-0000B5280000}"/>
    <cellStyle name="Normal 3 3 3 3 2 5 2 3 2" xfId="5286" xr:uid="{00000000-0005-0000-0000-0000B6280000}"/>
    <cellStyle name="Normal 3 3 3 3 2 5 2 3 2 2" xfId="10600" xr:uid="{00000000-0005-0000-0000-0000B7280000}"/>
    <cellStyle name="Normal 3 3 3 3 2 5 2 3 3" xfId="7942" xr:uid="{00000000-0005-0000-0000-0000B8280000}"/>
    <cellStyle name="Normal 3 3 3 3 2 5 2 4" xfId="2858" xr:uid="{00000000-0005-0000-0000-0000B9280000}"/>
    <cellStyle name="Normal 3 3 3 3 2 5 2 4 2" xfId="6163" xr:uid="{00000000-0005-0000-0000-0000BA280000}"/>
    <cellStyle name="Normal 3 3 3 3 2 5 2 4 2 2" xfId="11477" xr:uid="{00000000-0005-0000-0000-0000BB280000}"/>
    <cellStyle name="Normal 3 3 3 3 2 5 2 4 3" xfId="8819" xr:uid="{00000000-0005-0000-0000-0000BC280000}"/>
    <cellStyle name="Normal 3 3 3 3 2 5 2 5" xfId="4150" xr:uid="{00000000-0005-0000-0000-0000BD280000}"/>
    <cellStyle name="Normal 3 3 3 3 2 5 2 5 2" xfId="9723" xr:uid="{00000000-0005-0000-0000-0000BE280000}"/>
    <cellStyle name="Normal 3 3 3 3 2 5 2 6" xfId="7065" xr:uid="{00000000-0005-0000-0000-0000BF280000}"/>
    <cellStyle name="Normal 3 3 3 3 2 5 3" xfId="1121" xr:uid="{00000000-0005-0000-0000-0000C0280000}"/>
    <cellStyle name="Normal 3 3 3 3 2 5 3 2" xfId="2175" xr:uid="{00000000-0005-0000-0000-0000C1280000}"/>
    <cellStyle name="Normal 3 3 3 3 2 5 3 2 2" xfId="5522" xr:uid="{00000000-0005-0000-0000-0000C2280000}"/>
    <cellStyle name="Normal 3 3 3 3 2 5 3 2 2 2" xfId="10836" xr:uid="{00000000-0005-0000-0000-0000C3280000}"/>
    <cellStyle name="Normal 3 3 3 3 2 5 3 2 3" xfId="8178" xr:uid="{00000000-0005-0000-0000-0000C4280000}"/>
    <cellStyle name="Normal 3 3 3 3 2 5 3 3" xfId="3096" xr:uid="{00000000-0005-0000-0000-0000C5280000}"/>
    <cellStyle name="Normal 3 3 3 3 2 5 3 3 2" xfId="6399" xr:uid="{00000000-0005-0000-0000-0000C6280000}"/>
    <cellStyle name="Normal 3 3 3 3 2 5 3 3 2 2" xfId="11713" xr:uid="{00000000-0005-0000-0000-0000C7280000}"/>
    <cellStyle name="Normal 3 3 3 3 2 5 3 3 3" xfId="9055" xr:uid="{00000000-0005-0000-0000-0000C8280000}"/>
    <cellStyle name="Normal 3 3 3 3 2 5 3 4" xfId="4513" xr:uid="{00000000-0005-0000-0000-0000C9280000}"/>
    <cellStyle name="Normal 3 3 3 3 2 5 3 4 2" xfId="9959" xr:uid="{00000000-0005-0000-0000-0000CA280000}"/>
    <cellStyle name="Normal 3 3 3 3 2 5 3 5" xfId="7301" xr:uid="{00000000-0005-0000-0000-0000CB280000}"/>
    <cellStyle name="Normal 3 3 3 3 2 5 4" xfId="1737" xr:uid="{00000000-0005-0000-0000-0000CC280000}"/>
    <cellStyle name="Normal 3 3 3 3 2 5 4 2" xfId="5086" xr:uid="{00000000-0005-0000-0000-0000CD280000}"/>
    <cellStyle name="Normal 3 3 3 3 2 5 4 2 2" xfId="10400" xr:uid="{00000000-0005-0000-0000-0000CE280000}"/>
    <cellStyle name="Normal 3 3 3 3 2 5 4 3" xfId="7742" xr:uid="{00000000-0005-0000-0000-0000CF280000}"/>
    <cellStyle name="Normal 3 3 3 3 2 5 5" xfId="2658" xr:uid="{00000000-0005-0000-0000-0000D0280000}"/>
    <cellStyle name="Normal 3 3 3 3 2 5 5 2" xfId="5963" xr:uid="{00000000-0005-0000-0000-0000D1280000}"/>
    <cellStyle name="Normal 3 3 3 3 2 5 5 2 2" xfId="11277" xr:uid="{00000000-0005-0000-0000-0000D2280000}"/>
    <cellStyle name="Normal 3 3 3 3 2 5 5 3" xfId="8619" xr:uid="{00000000-0005-0000-0000-0000D3280000}"/>
    <cellStyle name="Normal 3 3 3 3 2 5 6" xfId="3828" xr:uid="{00000000-0005-0000-0000-0000D4280000}"/>
    <cellStyle name="Normal 3 3 3 3 2 5 6 2" xfId="9523" xr:uid="{00000000-0005-0000-0000-0000D5280000}"/>
    <cellStyle name="Normal 3 3 3 3 2 5 7" xfId="6865" xr:uid="{00000000-0005-0000-0000-0000D6280000}"/>
    <cellStyle name="Normal 3 3 3 3 2 6" xfId="607" xr:uid="{00000000-0005-0000-0000-0000D7280000}"/>
    <cellStyle name="Normal 3 3 3 3 2 6 2" xfId="1294" xr:uid="{00000000-0005-0000-0000-0000D8280000}"/>
    <cellStyle name="Normal 3 3 3 3 2 6 2 2" xfId="2286" xr:uid="{00000000-0005-0000-0000-0000D9280000}"/>
    <cellStyle name="Normal 3 3 3 3 2 6 2 2 2" xfId="5633" xr:uid="{00000000-0005-0000-0000-0000DA280000}"/>
    <cellStyle name="Normal 3 3 3 3 2 6 2 2 2 2" xfId="10947" xr:uid="{00000000-0005-0000-0000-0000DB280000}"/>
    <cellStyle name="Normal 3 3 3 3 2 6 2 2 3" xfId="8289" xr:uid="{00000000-0005-0000-0000-0000DC280000}"/>
    <cellStyle name="Normal 3 3 3 3 2 6 2 3" xfId="3207" xr:uid="{00000000-0005-0000-0000-0000DD280000}"/>
    <cellStyle name="Normal 3 3 3 3 2 6 2 3 2" xfId="6510" xr:uid="{00000000-0005-0000-0000-0000DE280000}"/>
    <cellStyle name="Normal 3 3 3 3 2 6 2 3 2 2" xfId="11824" xr:uid="{00000000-0005-0000-0000-0000DF280000}"/>
    <cellStyle name="Normal 3 3 3 3 2 6 2 3 3" xfId="9166" xr:uid="{00000000-0005-0000-0000-0000E0280000}"/>
    <cellStyle name="Normal 3 3 3 3 2 6 2 4" xfId="4686" xr:uid="{00000000-0005-0000-0000-0000E1280000}"/>
    <cellStyle name="Normal 3 3 3 3 2 6 2 4 2" xfId="10070" xr:uid="{00000000-0005-0000-0000-0000E2280000}"/>
    <cellStyle name="Normal 3 3 3 3 2 6 2 5" xfId="7412" xr:uid="{00000000-0005-0000-0000-0000E3280000}"/>
    <cellStyle name="Normal 3 3 3 3 2 6 3" xfId="1848" xr:uid="{00000000-0005-0000-0000-0000E4280000}"/>
    <cellStyle name="Normal 3 3 3 3 2 6 3 2" xfId="5197" xr:uid="{00000000-0005-0000-0000-0000E5280000}"/>
    <cellStyle name="Normal 3 3 3 3 2 6 3 2 2" xfId="10511" xr:uid="{00000000-0005-0000-0000-0000E6280000}"/>
    <cellStyle name="Normal 3 3 3 3 2 6 3 3" xfId="7853" xr:uid="{00000000-0005-0000-0000-0000E7280000}"/>
    <cellStyle name="Normal 3 3 3 3 2 6 4" xfId="2769" xr:uid="{00000000-0005-0000-0000-0000E8280000}"/>
    <cellStyle name="Normal 3 3 3 3 2 6 4 2" xfId="6074" xr:uid="{00000000-0005-0000-0000-0000E9280000}"/>
    <cellStyle name="Normal 3 3 3 3 2 6 4 2 2" xfId="11388" xr:uid="{00000000-0005-0000-0000-0000EA280000}"/>
    <cellStyle name="Normal 3 3 3 3 2 6 4 3" xfId="8730" xr:uid="{00000000-0005-0000-0000-0000EB280000}"/>
    <cellStyle name="Normal 3 3 3 3 2 6 5" xfId="4001" xr:uid="{00000000-0005-0000-0000-0000EC280000}"/>
    <cellStyle name="Normal 3 3 3 3 2 6 5 2" xfId="9634" xr:uid="{00000000-0005-0000-0000-0000ED280000}"/>
    <cellStyle name="Normal 3 3 3 3 2 6 6" xfId="6976" xr:uid="{00000000-0005-0000-0000-0000EE280000}"/>
    <cellStyle name="Normal 3 3 3 3 2 7" xfId="972" xr:uid="{00000000-0005-0000-0000-0000EF280000}"/>
    <cellStyle name="Normal 3 3 3 3 2 7 2" xfId="2086" xr:uid="{00000000-0005-0000-0000-0000F0280000}"/>
    <cellStyle name="Normal 3 3 3 3 2 7 2 2" xfId="5433" xr:uid="{00000000-0005-0000-0000-0000F1280000}"/>
    <cellStyle name="Normal 3 3 3 3 2 7 2 2 2" xfId="10747" xr:uid="{00000000-0005-0000-0000-0000F2280000}"/>
    <cellStyle name="Normal 3 3 3 3 2 7 2 3" xfId="8089" xr:uid="{00000000-0005-0000-0000-0000F3280000}"/>
    <cellStyle name="Normal 3 3 3 3 2 7 3" xfId="3007" xr:uid="{00000000-0005-0000-0000-0000F4280000}"/>
    <cellStyle name="Normal 3 3 3 3 2 7 3 2" xfId="6310" xr:uid="{00000000-0005-0000-0000-0000F5280000}"/>
    <cellStyle name="Normal 3 3 3 3 2 7 3 2 2" xfId="11624" xr:uid="{00000000-0005-0000-0000-0000F6280000}"/>
    <cellStyle name="Normal 3 3 3 3 2 7 3 3" xfId="8966" xr:uid="{00000000-0005-0000-0000-0000F7280000}"/>
    <cellStyle name="Normal 3 3 3 3 2 7 4" xfId="4364" xr:uid="{00000000-0005-0000-0000-0000F8280000}"/>
    <cellStyle name="Normal 3 3 3 3 2 7 4 2" xfId="9870" xr:uid="{00000000-0005-0000-0000-0000F9280000}"/>
    <cellStyle name="Normal 3 3 3 3 2 7 5" xfId="7212" xr:uid="{00000000-0005-0000-0000-0000FA280000}"/>
    <cellStyle name="Normal 3 3 3 3 2 8" xfId="1647" xr:uid="{00000000-0005-0000-0000-0000FB280000}"/>
    <cellStyle name="Normal 3 3 3 3 2 8 2" xfId="4997" xr:uid="{00000000-0005-0000-0000-0000FC280000}"/>
    <cellStyle name="Normal 3 3 3 3 2 8 2 2" xfId="10311" xr:uid="{00000000-0005-0000-0000-0000FD280000}"/>
    <cellStyle name="Normal 3 3 3 3 2 8 3" xfId="7653" xr:uid="{00000000-0005-0000-0000-0000FE280000}"/>
    <cellStyle name="Normal 3 3 3 3 2 9" xfId="2568" xr:uid="{00000000-0005-0000-0000-0000FF280000}"/>
    <cellStyle name="Normal 3 3 3 3 2 9 2" xfId="5874" xr:uid="{00000000-0005-0000-0000-000000290000}"/>
    <cellStyle name="Normal 3 3 3 3 2 9 2 2" xfId="11188" xr:uid="{00000000-0005-0000-0000-000001290000}"/>
    <cellStyle name="Normal 3 3 3 3 2 9 3" xfId="8530" xr:uid="{00000000-0005-0000-0000-000002290000}"/>
    <cellStyle name="Normal 3 3 3 3 3" xfId="423" xr:uid="{00000000-0005-0000-0000-000003290000}"/>
    <cellStyle name="Normal 3 3 3 3 3 2" xfId="746" xr:uid="{00000000-0005-0000-0000-000004290000}"/>
    <cellStyle name="Normal 3 3 3 3 3 2 2" xfId="1433" xr:uid="{00000000-0005-0000-0000-000005290000}"/>
    <cellStyle name="Normal 3 3 3 3 3 2 2 2" xfId="2365" xr:uid="{00000000-0005-0000-0000-000006290000}"/>
    <cellStyle name="Normal 3 3 3 3 3 2 2 2 2" xfId="5712" xr:uid="{00000000-0005-0000-0000-000007290000}"/>
    <cellStyle name="Normal 3 3 3 3 3 2 2 2 2 2" xfId="11026" xr:uid="{00000000-0005-0000-0000-000008290000}"/>
    <cellStyle name="Normal 3 3 3 3 3 2 2 2 3" xfId="8368" xr:uid="{00000000-0005-0000-0000-000009290000}"/>
    <cellStyle name="Normal 3 3 3 3 3 2 2 3" xfId="3286" xr:uid="{00000000-0005-0000-0000-00000A290000}"/>
    <cellStyle name="Normal 3 3 3 3 3 2 2 3 2" xfId="6589" xr:uid="{00000000-0005-0000-0000-00000B290000}"/>
    <cellStyle name="Normal 3 3 3 3 3 2 2 3 2 2" xfId="11903" xr:uid="{00000000-0005-0000-0000-00000C290000}"/>
    <cellStyle name="Normal 3 3 3 3 3 2 2 3 3" xfId="9245" xr:uid="{00000000-0005-0000-0000-00000D290000}"/>
    <cellStyle name="Normal 3 3 3 3 3 2 2 4" xfId="4825" xr:uid="{00000000-0005-0000-0000-00000E290000}"/>
    <cellStyle name="Normal 3 3 3 3 3 2 2 4 2" xfId="10149" xr:uid="{00000000-0005-0000-0000-00000F290000}"/>
    <cellStyle name="Normal 3 3 3 3 3 2 2 5" xfId="7491" xr:uid="{00000000-0005-0000-0000-000010290000}"/>
    <cellStyle name="Normal 3 3 3 3 3 2 3" xfId="1927" xr:uid="{00000000-0005-0000-0000-000011290000}"/>
    <cellStyle name="Normal 3 3 3 3 3 2 3 2" xfId="5276" xr:uid="{00000000-0005-0000-0000-000012290000}"/>
    <cellStyle name="Normal 3 3 3 3 3 2 3 2 2" xfId="10590" xr:uid="{00000000-0005-0000-0000-000013290000}"/>
    <cellStyle name="Normal 3 3 3 3 3 2 3 3" xfId="7932" xr:uid="{00000000-0005-0000-0000-000014290000}"/>
    <cellStyle name="Normal 3 3 3 3 3 2 4" xfId="2848" xr:uid="{00000000-0005-0000-0000-000015290000}"/>
    <cellStyle name="Normal 3 3 3 3 3 2 4 2" xfId="6153" xr:uid="{00000000-0005-0000-0000-000016290000}"/>
    <cellStyle name="Normal 3 3 3 3 3 2 4 2 2" xfId="11467" xr:uid="{00000000-0005-0000-0000-000017290000}"/>
    <cellStyle name="Normal 3 3 3 3 3 2 4 3" xfId="8809" xr:uid="{00000000-0005-0000-0000-000018290000}"/>
    <cellStyle name="Normal 3 3 3 3 3 2 5" xfId="4140" xr:uid="{00000000-0005-0000-0000-000019290000}"/>
    <cellStyle name="Normal 3 3 3 3 3 2 5 2" xfId="9713" xr:uid="{00000000-0005-0000-0000-00001A290000}"/>
    <cellStyle name="Normal 3 3 3 3 3 2 6" xfId="7055" xr:uid="{00000000-0005-0000-0000-00001B290000}"/>
    <cellStyle name="Normal 3 3 3 3 3 3" xfId="1111" xr:uid="{00000000-0005-0000-0000-00001C290000}"/>
    <cellStyle name="Normal 3 3 3 3 3 3 2" xfId="2165" xr:uid="{00000000-0005-0000-0000-00001D290000}"/>
    <cellStyle name="Normal 3 3 3 3 3 3 2 2" xfId="5512" xr:uid="{00000000-0005-0000-0000-00001E290000}"/>
    <cellStyle name="Normal 3 3 3 3 3 3 2 2 2" xfId="10826" xr:uid="{00000000-0005-0000-0000-00001F290000}"/>
    <cellStyle name="Normal 3 3 3 3 3 3 2 3" xfId="8168" xr:uid="{00000000-0005-0000-0000-000020290000}"/>
    <cellStyle name="Normal 3 3 3 3 3 3 3" xfId="3086" xr:uid="{00000000-0005-0000-0000-000021290000}"/>
    <cellStyle name="Normal 3 3 3 3 3 3 3 2" xfId="6389" xr:uid="{00000000-0005-0000-0000-000022290000}"/>
    <cellStyle name="Normal 3 3 3 3 3 3 3 2 2" xfId="11703" xr:uid="{00000000-0005-0000-0000-000023290000}"/>
    <cellStyle name="Normal 3 3 3 3 3 3 3 3" xfId="9045" xr:uid="{00000000-0005-0000-0000-000024290000}"/>
    <cellStyle name="Normal 3 3 3 3 3 3 4" xfId="4503" xr:uid="{00000000-0005-0000-0000-000025290000}"/>
    <cellStyle name="Normal 3 3 3 3 3 3 4 2" xfId="9949" xr:uid="{00000000-0005-0000-0000-000026290000}"/>
    <cellStyle name="Normal 3 3 3 3 3 3 5" xfId="7291" xr:uid="{00000000-0005-0000-0000-000027290000}"/>
    <cellStyle name="Normal 3 3 3 3 3 4" xfId="1727" xr:uid="{00000000-0005-0000-0000-000028290000}"/>
    <cellStyle name="Normal 3 3 3 3 3 4 2" xfId="5076" xr:uid="{00000000-0005-0000-0000-000029290000}"/>
    <cellStyle name="Normal 3 3 3 3 3 4 2 2" xfId="10390" xr:uid="{00000000-0005-0000-0000-00002A290000}"/>
    <cellStyle name="Normal 3 3 3 3 3 4 3" xfId="7732" xr:uid="{00000000-0005-0000-0000-00002B290000}"/>
    <cellStyle name="Normal 3 3 3 3 3 5" xfId="2648" xr:uid="{00000000-0005-0000-0000-00002C290000}"/>
    <cellStyle name="Normal 3 3 3 3 3 5 2" xfId="5953" xr:uid="{00000000-0005-0000-0000-00002D290000}"/>
    <cellStyle name="Normal 3 3 3 3 3 5 2 2" xfId="11267" xr:uid="{00000000-0005-0000-0000-00002E290000}"/>
    <cellStyle name="Normal 3 3 3 3 3 5 3" xfId="8609" xr:uid="{00000000-0005-0000-0000-00002F290000}"/>
    <cellStyle name="Normal 3 3 3 3 3 6" xfId="3818" xr:uid="{00000000-0005-0000-0000-000030290000}"/>
    <cellStyle name="Normal 3 3 3 3 3 6 2" xfId="9513" xr:uid="{00000000-0005-0000-0000-000031290000}"/>
    <cellStyle name="Normal 3 3 3 3 3 7" xfId="6855" xr:uid="{00000000-0005-0000-0000-000032290000}"/>
    <cellStyle name="Normal 3 3 3 3 4" xfId="597" xr:uid="{00000000-0005-0000-0000-000033290000}"/>
    <cellStyle name="Normal 3 3 3 3 4 2" xfId="1284" xr:uid="{00000000-0005-0000-0000-000034290000}"/>
    <cellStyle name="Normal 3 3 3 3 4 2 2" xfId="2276" xr:uid="{00000000-0005-0000-0000-000035290000}"/>
    <cellStyle name="Normal 3 3 3 3 4 2 2 2" xfId="5623" xr:uid="{00000000-0005-0000-0000-000036290000}"/>
    <cellStyle name="Normal 3 3 3 3 4 2 2 2 2" xfId="10937" xr:uid="{00000000-0005-0000-0000-000037290000}"/>
    <cellStyle name="Normal 3 3 3 3 4 2 2 3" xfId="8279" xr:uid="{00000000-0005-0000-0000-000038290000}"/>
    <cellStyle name="Normal 3 3 3 3 4 2 3" xfId="3197" xr:uid="{00000000-0005-0000-0000-000039290000}"/>
    <cellStyle name="Normal 3 3 3 3 4 2 3 2" xfId="6500" xr:uid="{00000000-0005-0000-0000-00003A290000}"/>
    <cellStyle name="Normal 3 3 3 3 4 2 3 2 2" xfId="11814" xr:uid="{00000000-0005-0000-0000-00003B290000}"/>
    <cellStyle name="Normal 3 3 3 3 4 2 3 3" xfId="9156" xr:uid="{00000000-0005-0000-0000-00003C290000}"/>
    <cellStyle name="Normal 3 3 3 3 4 2 4" xfId="4676" xr:uid="{00000000-0005-0000-0000-00003D290000}"/>
    <cellStyle name="Normal 3 3 3 3 4 2 4 2" xfId="10060" xr:uid="{00000000-0005-0000-0000-00003E290000}"/>
    <cellStyle name="Normal 3 3 3 3 4 2 5" xfId="7402" xr:uid="{00000000-0005-0000-0000-00003F290000}"/>
    <cellStyle name="Normal 3 3 3 3 4 3" xfId="1838" xr:uid="{00000000-0005-0000-0000-000040290000}"/>
    <cellStyle name="Normal 3 3 3 3 4 3 2" xfId="5187" xr:uid="{00000000-0005-0000-0000-000041290000}"/>
    <cellStyle name="Normal 3 3 3 3 4 3 2 2" xfId="10501" xr:uid="{00000000-0005-0000-0000-000042290000}"/>
    <cellStyle name="Normal 3 3 3 3 4 3 3" xfId="7843" xr:uid="{00000000-0005-0000-0000-000043290000}"/>
    <cellStyle name="Normal 3 3 3 3 4 4" xfId="2759" xr:uid="{00000000-0005-0000-0000-000044290000}"/>
    <cellStyle name="Normal 3 3 3 3 4 4 2" xfId="6064" xr:uid="{00000000-0005-0000-0000-000045290000}"/>
    <cellStyle name="Normal 3 3 3 3 4 4 2 2" xfId="11378" xr:uid="{00000000-0005-0000-0000-000046290000}"/>
    <cellStyle name="Normal 3 3 3 3 4 4 3" xfId="8720" xr:uid="{00000000-0005-0000-0000-000047290000}"/>
    <cellStyle name="Normal 3 3 3 3 4 5" xfId="3991" xr:uid="{00000000-0005-0000-0000-000048290000}"/>
    <cellStyle name="Normal 3 3 3 3 4 5 2" xfId="9624" xr:uid="{00000000-0005-0000-0000-000049290000}"/>
    <cellStyle name="Normal 3 3 3 3 4 6" xfId="6966" xr:uid="{00000000-0005-0000-0000-00004A290000}"/>
    <cellStyle name="Normal 3 3 3 3 5" xfId="962" xr:uid="{00000000-0005-0000-0000-00004B290000}"/>
    <cellStyle name="Normal 3 3 3 3 5 2" xfId="2076" xr:uid="{00000000-0005-0000-0000-00004C290000}"/>
    <cellStyle name="Normal 3 3 3 3 5 2 2" xfId="5423" xr:uid="{00000000-0005-0000-0000-00004D290000}"/>
    <cellStyle name="Normal 3 3 3 3 5 2 2 2" xfId="10737" xr:uid="{00000000-0005-0000-0000-00004E290000}"/>
    <cellStyle name="Normal 3 3 3 3 5 2 3" xfId="8079" xr:uid="{00000000-0005-0000-0000-00004F290000}"/>
    <cellStyle name="Normal 3 3 3 3 5 3" xfId="2997" xr:uid="{00000000-0005-0000-0000-000050290000}"/>
    <cellStyle name="Normal 3 3 3 3 5 3 2" xfId="6300" xr:uid="{00000000-0005-0000-0000-000051290000}"/>
    <cellStyle name="Normal 3 3 3 3 5 3 2 2" xfId="11614" xr:uid="{00000000-0005-0000-0000-000052290000}"/>
    <cellStyle name="Normal 3 3 3 3 5 3 3" xfId="8956" xr:uid="{00000000-0005-0000-0000-000053290000}"/>
    <cellStyle name="Normal 3 3 3 3 5 4" xfId="4354" xr:uid="{00000000-0005-0000-0000-000054290000}"/>
    <cellStyle name="Normal 3 3 3 3 5 4 2" xfId="9860" xr:uid="{00000000-0005-0000-0000-000055290000}"/>
    <cellStyle name="Normal 3 3 3 3 5 5" xfId="7202" xr:uid="{00000000-0005-0000-0000-000056290000}"/>
    <cellStyle name="Normal 3 3 3 3 6" xfId="1637" xr:uid="{00000000-0005-0000-0000-000057290000}"/>
    <cellStyle name="Normal 3 3 3 3 6 2" xfId="4987" xr:uid="{00000000-0005-0000-0000-000058290000}"/>
    <cellStyle name="Normal 3 3 3 3 6 2 2" xfId="10301" xr:uid="{00000000-0005-0000-0000-000059290000}"/>
    <cellStyle name="Normal 3 3 3 3 6 3" xfId="7643" xr:uid="{00000000-0005-0000-0000-00005A290000}"/>
    <cellStyle name="Normal 3 3 3 3 7" xfId="2558" xr:uid="{00000000-0005-0000-0000-00005B290000}"/>
    <cellStyle name="Normal 3 3 3 3 7 2" xfId="5864" xr:uid="{00000000-0005-0000-0000-00005C290000}"/>
    <cellStyle name="Normal 3 3 3 3 7 2 2" xfId="11178" xr:uid="{00000000-0005-0000-0000-00005D290000}"/>
    <cellStyle name="Normal 3 3 3 3 7 3" xfId="8520" xr:uid="{00000000-0005-0000-0000-00005E290000}"/>
    <cellStyle name="Normal 3 3 3 3 8" xfId="3669" xr:uid="{00000000-0005-0000-0000-00005F290000}"/>
    <cellStyle name="Normal 3 3 3 3 8 2" xfId="9424" xr:uid="{00000000-0005-0000-0000-000060290000}"/>
    <cellStyle name="Normal 3 3 3 3 9" xfId="6761" xr:uid="{00000000-0005-0000-0000-000061290000}"/>
    <cellStyle name="Normal 3 3 3 4" xfId="417" xr:uid="{00000000-0005-0000-0000-000062290000}"/>
    <cellStyle name="Normal 3 3 3 4 2" xfId="740" xr:uid="{00000000-0005-0000-0000-000063290000}"/>
    <cellStyle name="Normal 3 3 3 4 2 2" xfId="1427" xr:uid="{00000000-0005-0000-0000-000064290000}"/>
    <cellStyle name="Normal 3 3 3 4 2 2 2" xfId="2359" xr:uid="{00000000-0005-0000-0000-000065290000}"/>
    <cellStyle name="Normal 3 3 3 4 2 2 2 2" xfId="5706" xr:uid="{00000000-0005-0000-0000-000066290000}"/>
    <cellStyle name="Normal 3 3 3 4 2 2 2 2 2" xfId="11020" xr:uid="{00000000-0005-0000-0000-000067290000}"/>
    <cellStyle name="Normal 3 3 3 4 2 2 2 3" xfId="8362" xr:uid="{00000000-0005-0000-0000-000068290000}"/>
    <cellStyle name="Normal 3 3 3 4 2 2 3" xfId="3280" xr:uid="{00000000-0005-0000-0000-000069290000}"/>
    <cellStyle name="Normal 3 3 3 4 2 2 3 2" xfId="6583" xr:uid="{00000000-0005-0000-0000-00006A290000}"/>
    <cellStyle name="Normal 3 3 3 4 2 2 3 2 2" xfId="11897" xr:uid="{00000000-0005-0000-0000-00006B290000}"/>
    <cellStyle name="Normal 3 3 3 4 2 2 3 3" xfId="9239" xr:uid="{00000000-0005-0000-0000-00006C290000}"/>
    <cellStyle name="Normal 3 3 3 4 2 2 4" xfId="4819" xr:uid="{00000000-0005-0000-0000-00006D290000}"/>
    <cellStyle name="Normal 3 3 3 4 2 2 4 2" xfId="10143" xr:uid="{00000000-0005-0000-0000-00006E290000}"/>
    <cellStyle name="Normal 3 3 3 4 2 2 5" xfId="7485" xr:uid="{00000000-0005-0000-0000-00006F290000}"/>
    <cellStyle name="Normal 3 3 3 4 2 3" xfId="1921" xr:uid="{00000000-0005-0000-0000-000070290000}"/>
    <cellStyle name="Normal 3 3 3 4 2 3 2" xfId="5270" xr:uid="{00000000-0005-0000-0000-000071290000}"/>
    <cellStyle name="Normal 3 3 3 4 2 3 2 2" xfId="10584" xr:uid="{00000000-0005-0000-0000-000072290000}"/>
    <cellStyle name="Normal 3 3 3 4 2 3 3" xfId="7926" xr:uid="{00000000-0005-0000-0000-000073290000}"/>
    <cellStyle name="Normal 3 3 3 4 2 4" xfId="2842" xr:uid="{00000000-0005-0000-0000-000074290000}"/>
    <cellStyle name="Normal 3 3 3 4 2 4 2" xfId="6147" xr:uid="{00000000-0005-0000-0000-000075290000}"/>
    <cellStyle name="Normal 3 3 3 4 2 4 2 2" xfId="11461" xr:uid="{00000000-0005-0000-0000-000076290000}"/>
    <cellStyle name="Normal 3 3 3 4 2 4 3" xfId="8803" xr:uid="{00000000-0005-0000-0000-000077290000}"/>
    <cellStyle name="Normal 3 3 3 4 2 5" xfId="4134" xr:uid="{00000000-0005-0000-0000-000078290000}"/>
    <cellStyle name="Normal 3 3 3 4 2 5 2" xfId="9707" xr:uid="{00000000-0005-0000-0000-000079290000}"/>
    <cellStyle name="Normal 3 3 3 4 2 6" xfId="7049" xr:uid="{00000000-0005-0000-0000-00007A290000}"/>
    <cellStyle name="Normal 3 3 3 4 3" xfId="1105" xr:uid="{00000000-0005-0000-0000-00007B290000}"/>
    <cellStyle name="Normal 3 3 3 4 3 2" xfId="2159" xr:uid="{00000000-0005-0000-0000-00007C290000}"/>
    <cellStyle name="Normal 3 3 3 4 3 2 2" xfId="5506" xr:uid="{00000000-0005-0000-0000-00007D290000}"/>
    <cellStyle name="Normal 3 3 3 4 3 2 2 2" xfId="10820" xr:uid="{00000000-0005-0000-0000-00007E290000}"/>
    <cellStyle name="Normal 3 3 3 4 3 2 3" xfId="8162" xr:uid="{00000000-0005-0000-0000-00007F290000}"/>
    <cellStyle name="Normal 3 3 3 4 3 3" xfId="3080" xr:uid="{00000000-0005-0000-0000-000080290000}"/>
    <cellStyle name="Normal 3 3 3 4 3 3 2" xfId="6383" xr:uid="{00000000-0005-0000-0000-000081290000}"/>
    <cellStyle name="Normal 3 3 3 4 3 3 2 2" xfId="11697" xr:uid="{00000000-0005-0000-0000-000082290000}"/>
    <cellStyle name="Normal 3 3 3 4 3 3 3" xfId="9039" xr:uid="{00000000-0005-0000-0000-000083290000}"/>
    <cellStyle name="Normal 3 3 3 4 3 4" xfId="4497" xr:uid="{00000000-0005-0000-0000-000084290000}"/>
    <cellStyle name="Normal 3 3 3 4 3 4 2" xfId="9943" xr:uid="{00000000-0005-0000-0000-000085290000}"/>
    <cellStyle name="Normal 3 3 3 4 3 5" xfId="7285" xr:uid="{00000000-0005-0000-0000-000086290000}"/>
    <cellStyle name="Normal 3 3 3 4 4" xfId="1721" xr:uid="{00000000-0005-0000-0000-000087290000}"/>
    <cellStyle name="Normal 3 3 3 4 4 2" xfId="5070" xr:uid="{00000000-0005-0000-0000-000088290000}"/>
    <cellStyle name="Normal 3 3 3 4 4 2 2" xfId="10384" xr:uid="{00000000-0005-0000-0000-000089290000}"/>
    <cellStyle name="Normal 3 3 3 4 4 3" xfId="7726" xr:uid="{00000000-0005-0000-0000-00008A290000}"/>
    <cellStyle name="Normal 3 3 3 4 5" xfId="2642" xr:uid="{00000000-0005-0000-0000-00008B290000}"/>
    <cellStyle name="Normal 3 3 3 4 5 2" xfId="5947" xr:uid="{00000000-0005-0000-0000-00008C290000}"/>
    <cellStyle name="Normal 3 3 3 4 5 2 2" xfId="11261" xr:uid="{00000000-0005-0000-0000-00008D290000}"/>
    <cellStyle name="Normal 3 3 3 4 5 3" xfId="8603" xr:uid="{00000000-0005-0000-0000-00008E290000}"/>
    <cellStyle name="Normal 3 3 3 4 6" xfId="3812" xr:uid="{00000000-0005-0000-0000-00008F290000}"/>
    <cellStyle name="Normal 3 3 3 4 6 2" xfId="9507" xr:uid="{00000000-0005-0000-0000-000090290000}"/>
    <cellStyle name="Normal 3 3 3 4 7" xfId="6849" xr:uid="{00000000-0005-0000-0000-000091290000}"/>
    <cellStyle name="Normal 3 3 3 5" xfId="456" xr:uid="{00000000-0005-0000-0000-000092290000}"/>
    <cellStyle name="Normal 3 3 3 5 2" xfId="778" xr:uid="{00000000-0005-0000-0000-000093290000}"/>
    <cellStyle name="Normal 3 3 3 5 2 2" xfId="1465" xr:uid="{00000000-0005-0000-0000-000094290000}"/>
    <cellStyle name="Normal 3 3 3 5 2 2 2" xfId="2393" xr:uid="{00000000-0005-0000-0000-000095290000}"/>
    <cellStyle name="Normal 3 3 3 5 2 2 2 2" xfId="5740" xr:uid="{00000000-0005-0000-0000-000096290000}"/>
    <cellStyle name="Normal 3 3 3 5 2 2 2 2 2" xfId="11054" xr:uid="{00000000-0005-0000-0000-000097290000}"/>
    <cellStyle name="Normal 3 3 3 5 2 2 2 3" xfId="8396" xr:uid="{00000000-0005-0000-0000-000098290000}"/>
    <cellStyle name="Normal 3 3 3 5 2 2 3" xfId="3314" xr:uid="{00000000-0005-0000-0000-000099290000}"/>
    <cellStyle name="Normal 3 3 3 5 2 2 3 2" xfId="6617" xr:uid="{00000000-0005-0000-0000-00009A290000}"/>
    <cellStyle name="Normal 3 3 3 5 2 2 3 2 2" xfId="11931" xr:uid="{00000000-0005-0000-0000-00009B290000}"/>
    <cellStyle name="Normal 3 3 3 5 2 2 3 3" xfId="9273" xr:uid="{00000000-0005-0000-0000-00009C290000}"/>
    <cellStyle name="Normal 3 3 3 5 2 2 4" xfId="4857" xr:uid="{00000000-0005-0000-0000-00009D290000}"/>
    <cellStyle name="Normal 3 3 3 5 2 2 4 2" xfId="10177" xr:uid="{00000000-0005-0000-0000-00009E290000}"/>
    <cellStyle name="Normal 3 3 3 5 2 2 5" xfId="7519" xr:uid="{00000000-0005-0000-0000-00009F290000}"/>
    <cellStyle name="Normal 3 3 3 5 2 3" xfId="1955" xr:uid="{00000000-0005-0000-0000-0000A0290000}"/>
    <cellStyle name="Normal 3 3 3 5 2 3 2" xfId="5304" xr:uid="{00000000-0005-0000-0000-0000A1290000}"/>
    <cellStyle name="Normal 3 3 3 5 2 3 2 2" xfId="10618" xr:uid="{00000000-0005-0000-0000-0000A2290000}"/>
    <cellStyle name="Normal 3 3 3 5 2 3 3" xfId="7960" xr:uid="{00000000-0005-0000-0000-0000A3290000}"/>
    <cellStyle name="Normal 3 3 3 5 2 4" xfId="2876" xr:uid="{00000000-0005-0000-0000-0000A4290000}"/>
    <cellStyle name="Normal 3 3 3 5 2 4 2" xfId="6181" xr:uid="{00000000-0005-0000-0000-0000A5290000}"/>
    <cellStyle name="Normal 3 3 3 5 2 4 2 2" xfId="11495" xr:uid="{00000000-0005-0000-0000-0000A6290000}"/>
    <cellStyle name="Normal 3 3 3 5 2 4 3" xfId="8837" xr:uid="{00000000-0005-0000-0000-0000A7290000}"/>
    <cellStyle name="Normal 3 3 3 5 2 5" xfId="4172" xr:uid="{00000000-0005-0000-0000-0000A8290000}"/>
    <cellStyle name="Normal 3 3 3 5 2 5 2" xfId="9741" xr:uid="{00000000-0005-0000-0000-0000A9290000}"/>
    <cellStyle name="Normal 3 3 3 5 2 6" xfId="7083" xr:uid="{00000000-0005-0000-0000-0000AA290000}"/>
    <cellStyle name="Normal 3 3 3 5 3" xfId="1143" xr:uid="{00000000-0005-0000-0000-0000AB290000}"/>
    <cellStyle name="Normal 3 3 3 5 3 2" xfId="2193" xr:uid="{00000000-0005-0000-0000-0000AC290000}"/>
    <cellStyle name="Normal 3 3 3 5 3 2 2" xfId="5540" xr:uid="{00000000-0005-0000-0000-0000AD290000}"/>
    <cellStyle name="Normal 3 3 3 5 3 2 2 2" xfId="10854" xr:uid="{00000000-0005-0000-0000-0000AE290000}"/>
    <cellStyle name="Normal 3 3 3 5 3 2 3" xfId="8196" xr:uid="{00000000-0005-0000-0000-0000AF290000}"/>
    <cellStyle name="Normal 3 3 3 5 3 3" xfId="3114" xr:uid="{00000000-0005-0000-0000-0000B0290000}"/>
    <cellStyle name="Normal 3 3 3 5 3 3 2" xfId="6417" xr:uid="{00000000-0005-0000-0000-0000B1290000}"/>
    <cellStyle name="Normal 3 3 3 5 3 3 2 2" xfId="11731" xr:uid="{00000000-0005-0000-0000-0000B2290000}"/>
    <cellStyle name="Normal 3 3 3 5 3 3 3" xfId="9073" xr:uid="{00000000-0005-0000-0000-0000B3290000}"/>
    <cellStyle name="Normal 3 3 3 5 3 4" xfId="4535" xr:uid="{00000000-0005-0000-0000-0000B4290000}"/>
    <cellStyle name="Normal 3 3 3 5 3 4 2" xfId="9977" xr:uid="{00000000-0005-0000-0000-0000B5290000}"/>
    <cellStyle name="Normal 3 3 3 5 3 5" xfId="7319" xr:uid="{00000000-0005-0000-0000-0000B6290000}"/>
    <cellStyle name="Normal 3 3 3 5 4" xfId="1755" xr:uid="{00000000-0005-0000-0000-0000B7290000}"/>
    <cellStyle name="Normal 3 3 3 5 4 2" xfId="5104" xr:uid="{00000000-0005-0000-0000-0000B8290000}"/>
    <cellStyle name="Normal 3 3 3 5 4 2 2" xfId="10418" xr:uid="{00000000-0005-0000-0000-0000B9290000}"/>
    <cellStyle name="Normal 3 3 3 5 4 3" xfId="7760" xr:uid="{00000000-0005-0000-0000-0000BA290000}"/>
    <cellStyle name="Normal 3 3 3 5 5" xfId="2676" xr:uid="{00000000-0005-0000-0000-0000BB290000}"/>
    <cellStyle name="Normal 3 3 3 5 5 2" xfId="5981" xr:uid="{00000000-0005-0000-0000-0000BC290000}"/>
    <cellStyle name="Normal 3 3 3 5 5 2 2" xfId="11295" xr:uid="{00000000-0005-0000-0000-0000BD290000}"/>
    <cellStyle name="Normal 3 3 3 5 5 3" xfId="8637" xr:uid="{00000000-0005-0000-0000-0000BE290000}"/>
    <cellStyle name="Normal 3 3 3 5 6" xfId="3850" xr:uid="{00000000-0005-0000-0000-0000BF290000}"/>
    <cellStyle name="Normal 3 3 3 5 6 2" xfId="9541" xr:uid="{00000000-0005-0000-0000-0000C0290000}"/>
    <cellStyle name="Normal 3 3 3 5 7" xfId="6883" xr:uid="{00000000-0005-0000-0000-0000C1290000}"/>
    <cellStyle name="Normal 3 3 3 6" xfId="805" xr:uid="{00000000-0005-0000-0000-0000C2290000}"/>
    <cellStyle name="Normal 3 3 3 6 2" xfId="819" xr:uid="{00000000-0005-0000-0000-0000C3290000}"/>
    <cellStyle name="Normal 3 3 3 6 2 2" xfId="1505" xr:uid="{00000000-0005-0000-0000-0000C4290000}"/>
    <cellStyle name="Normal 3 3 3 6 2 2 2" xfId="2431" xr:uid="{00000000-0005-0000-0000-0000C5290000}"/>
    <cellStyle name="Normal 3 3 3 6 2 2 2 2" xfId="5778" xr:uid="{00000000-0005-0000-0000-0000C6290000}"/>
    <cellStyle name="Normal 3 3 3 6 2 2 2 2 2" xfId="11092" xr:uid="{00000000-0005-0000-0000-0000C7290000}"/>
    <cellStyle name="Normal 3 3 3 6 2 2 2 3" xfId="8434" xr:uid="{00000000-0005-0000-0000-0000C8290000}"/>
    <cellStyle name="Normal 3 3 3 6 2 2 3" xfId="3352" xr:uid="{00000000-0005-0000-0000-0000C9290000}"/>
    <cellStyle name="Normal 3 3 3 6 2 2 3 2" xfId="6655" xr:uid="{00000000-0005-0000-0000-0000CA290000}"/>
    <cellStyle name="Normal 3 3 3 6 2 2 3 2 2" xfId="11969" xr:uid="{00000000-0005-0000-0000-0000CB290000}"/>
    <cellStyle name="Normal 3 3 3 6 2 2 3 3" xfId="9311" xr:uid="{00000000-0005-0000-0000-0000CC290000}"/>
    <cellStyle name="Normal 3 3 3 6 2 2 4" xfId="4897" xr:uid="{00000000-0005-0000-0000-0000CD290000}"/>
    <cellStyle name="Normal 3 3 3 6 2 2 4 2" xfId="10215" xr:uid="{00000000-0005-0000-0000-0000CE290000}"/>
    <cellStyle name="Normal 3 3 3 6 2 2 5" xfId="7557" xr:uid="{00000000-0005-0000-0000-0000CF290000}"/>
    <cellStyle name="Normal 3 3 3 6 2 3" xfId="1994" xr:uid="{00000000-0005-0000-0000-0000D0290000}"/>
    <cellStyle name="Normal 3 3 3 6 2 3 2" xfId="5342" xr:uid="{00000000-0005-0000-0000-0000D1290000}"/>
    <cellStyle name="Normal 3 3 3 6 2 3 2 2" xfId="10656" xr:uid="{00000000-0005-0000-0000-0000D2290000}"/>
    <cellStyle name="Normal 3 3 3 6 2 3 3" xfId="7998" xr:uid="{00000000-0005-0000-0000-0000D3290000}"/>
    <cellStyle name="Normal 3 3 3 6 2 4" xfId="2915" xr:uid="{00000000-0005-0000-0000-0000D4290000}"/>
    <cellStyle name="Normal 3 3 3 6 2 4 2" xfId="6219" xr:uid="{00000000-0005-0000-0000-0000D5290000}"/>
    <cellStyle name="Normal 3 3 3 6 2 4 2 2" xfId="11533" xr:uid="{00000000-0005-0000-0000-0000D6290000}"/>
    <cellStyle name="Normal 3 3 3 6 2 4 3" xfId="8875" xr:uid="{00000000-0005-0000-0000-0000D7290000}"/>
    <cellStyle name="Normal 3 3 3 6 2 5" xfId="4212" xr:uid="{00000000-0005-0000-0000-0000D8290000}"/>
    <cellStyle name="Normal 3 3 3 6 2 5 2" xfId="9779" xr:uid="{00000000-0005-0000-0000-0000D9290000}"/>
    <cellStyle name="Normal 3 3 3 6 2 6" xfId="7121" xr:uid="{00000000-0005-0000-0000-0000DA290000}"/>
    <cellStyle name="Normal 3 3 3 6 3" xfId="1492" xr:uid="{00000000-0005-0000-0000-0000DB290000}"/>
    <cellStyle name="Normal 3 3 3 6 3 2" xfId="2419" xr:uid="{00000000-0005-0000-0000-0000DC290000}"/>
    <cellStyle name="Normal 3 3 3 6 3 2 2" xfId="5766" xr:uid="{00000000-0005-0000-0000-0000DD290000}"/>
    <cellStyle name="Normal 3 3 3 6 3 2 2 2" xfId="11080" xr:uid="{00000000-0005-0000-0000-0000DE290000}"/>
    <cellStyle name="Normal 3 3 3 6 3 2 3" xfId="8422" xr:uid="{00000000-0005-0000-0000-0000DF290000}"/>
    <cellStyle name="Normal 3 3 3 6 3 3" xfId="3340" xr:uid="{00000000-0005-0000-0000-0000E0290000}"/>
    <cellStyle name="Normal 3 3 3 6 3 3 2" xfId="6643" xr:uid="{00000000-0005-0000-0000-0000E1290000}"/>
    <cellStyle name="Normal 3 3 3 6 3 3 2 2" xfId="11957" xr:uid="{00000000-0005-0000-0000-0000E2290000}"/>
    <cellStyle name="Normal 3 3 3 6 3 3 3" xfId="9299" xr:uid="{00000000-0005-0000-0000-0000E3290000}"/>
    <cellStyle name="Normal 3 3 3 6 3 4" xfId="4884" xr:uid="{00000000-0005-0000-0000-0000E4290000}"/>
    <cellStyle name="Normal 3 3 3 6 3 4 2" xfId="10203" xr:uid="{00000000-0005-0000-0000-0000E5290000}"/>
    <cellStyle name="Normal 3 3 3 6 3 5" xfId="7545" xr:uid="{00000000-0005-0000-0000-0000E6290000}"/>
    <cellStyle name="Normal 3 3 3 6 4" xfId="1981" xr:uid="{00000000-0005-0000-0000-0000E7290000}"/>
    <cellStyle name="Normal 3 3 3 6 4 2" xfId="5330" xr:uid="{00000000-0005-0000-0000-0000E8290000}"/>
    <cellStyle name="Normal 3 3 3 6 4 2 2" xfId="10644" xr:uid="{00000000-0005-0000-0000-0000E9290000}"/>
    <cellStyle name="Normal 3 3 3 6 4 3" xfId="7986" xr:uid="{00000000-0005-0000-0000-0000EA290000}"/>
    <cellStyle name="Normal 3 3 3 6 5" xfId="2902" xr:uid="{00000000-0005-0000-0000-0000EB290000}"/>
    <cellStyle name="Normal 3 3 3 6 5 2" xfId="6207" xr:uid="{00000000-0005-0000-0000-0000EC290000}"/>
    <cellStyle name="Normal 3 3 3 6 5 2 2" xfId="11521" xr:uid="{00000000-0005-0000-0000-0000ED290000}"/>
    <cellStyle name="Normal 3 3 3 6 5 3" xfId="8863" xr:uid="{00000000-0005-0000-0000-0000EE290000}"/>
    <cellStyle name="Normal 3 3 3 6 6" xfId="4199" xr:uid="{00000000-0005-0000-0000-0000EF290000}"/>
    <cellStyle name="Normal 3 3 3 6 6 2" xfId="9767" xr:uid="{00000000-0005-0000-0000-0000F0290000}"/>
    <cellStyle name="Normal 3 3 3 6 7" xfId="7109" xr:uid="{00000000-0005-0000-0000-0000F1290000}"/>
    <cellStyle name="Normal 3 3 3 7" xfId="591" xr:uid="{00000000-0005-0000-0000-0000F2290000}"/>
    <cellStyle name="Normal 3 3 3 7 2" xfId="1278" xr:uid="{00000000-0005-0000-0000-0000F3290000}"/>
    <cellStyle name="Normal 3 3 3 7 2 2" xfId="2270" xr:uid="{00000000-0005-0000-0000-0000F4290000}"/>
    <cellStyle name="Normal 3 3 3 7 2 2 2" xfId="5617" xr:uid="{00000000-0005-0000-0000-0000F5290000}"/>
    <cellStyle name="Normal 3 3 3 7 2 2 2 2" xfId="10931" xr:uid="{00000000-0005-0000-0000-0000F6290000}"/>
    <cellStyle name="Normal 3 3 3 7 2 2 3" xfId="8273" xr:uid="{00000000-0005-0000-0000-0000F7290000}"/>
    <cellStyle name="Normal 3 3 3 7 2 3" xfId="3191" xr:uid="{00000000-0005-0000-0000-0000F8290000}"/>
    <cellStyle name="Normal 3 3 3 7 2 3 2" xfId="6494" xr:uid="{00000000-0005-0000-0000-0000F9290000}"/>
    <cellStyle name="Normal 3 3 3 7 2 3 2 2" xfId="11808" xr:uid="{00000000-0005-0000-0000-0000FA290000}"/>
    <cellStyle name="Normal 3 3 3 7 2 3 3" xfId="9150" xr:uid="{00000000-0005-0000-0000-0000FB290000}"/>
    <cellStyle name="Normal 3 3 3 7 2 4" xfId="4670" xr:uid="{00000000-0005-0000-0000-0000FC290000}"/>
    <cellStyle name="Normal 3 3 3 7 2 4 2" xfId="10054" xr:uid="{00000000-0005-0000-0000-0000FD290000}"/>
    <cellStyle name="Normal 3 3 3 7 2 5" xfId="7396" xr:uid="{00000000-0005-0000-0000-0000FE290000}"/>
    <cellStyle name="Normal 3 3 3 7 3" xfId="1832" xr:uid="{00000000-0005-0000-0000-0000FF290000}"/>
    <cellStyle name="Normal 3 3 3 7 3 2" xfId="5181" xr:uid="{00000000-0005-0000-0000-0000002A0000}"/>
    <cellStyle name="Normal 3 3 3 7 3 2 2" xfId="10495" xr:uid="{00000000-0005-0000-0000-0000012A0000}"/>
    <cellStyle name="Normal 3 3 3 7 3 3" xfId="7837" xr:uid="{00000000-0005-0000-0000-0000022A0000}"/>
    <cellStyle name="Normal 3 3 3 7 4" xfId="2753" xr:uid="{00000000-0005-0000-0000-0000032A0000}"/>
    <cellStyle name="Normal 3 3 3 7 4 2" xfId="6058" xr:uid="{00000000-0005-0000-0000-0000042A0000}"/>
    <cellStyle name="Normal 3 3 3 7 4 2 2" xfId="11372" xr:uid="{00000000-0005-0000-0000-0000052A0000}"/>
    <cellStyle name="Normal 3 3 3 7 4 3" xfId="8714" xr:uid="{00000000-0005-0000-0000-0000062A0000}"/>
    <cellStyle name="Normal 3 3 3 7 5" xfId="3985" xr:uid="{00000000-0005-0000-0000-0000072A0000}"/>
    <cellStyle name="Normal 3 3 3 7 5 2" xfId="9618" xr:uid="{00000000-0005-0000-0000-0000082A0000}"/>
    <cellStyle name="Normal 3 3 3 7 6" xfId="6960" xr:uid="{00000000-0005-0000-0000-0000092A0000}"/>
    <cellStyle name="Normal 3 3 3 8" xfId="956" xr:uid="{00000000-0005-0000-0000-00000A2A0000}"/>
    <cellStyle name="Normal 3 3 3 8 2" xfId="2070" xr:uid="{00000000-0005-0000-0000-00000B2A0000}"/>
    <cellStyle name="Normal 3 3 3 8 2 2" xfId="5417" xr:uid="{00000000-0005-0000-0000-00000C2A0000}"/>
    <cellStyle name="Normal 3 3 3 8 2 2 2" xfId="10731" xr:uid="{00000000-0005-0000-0000-00000D2A0000}"/>
    <cellStyle name="Normal 3 3 3 8 2 3" xfId="8073" xr:uid="{00000000-0005-0000-0000-00000E2A0000}"/>
    <cellStyle name="Normal 3 3 3 8 3" xfId="2991" xr:uid="{00000000-0005-0000-0000-00000F2A0000}"/>
    <cellStyle name="Normal 3 3 3 8 3 2" xfId="6294" xr:uid="{00000000-0005-0000-0000-0000102A0000}"/>
    <cellStyle name="Normal 3 3 3 8 3 2 2" xfId="11608" xr:uid="{00000000-0005-0000-0000-0000112A0000}"/>
    <cellStyle name="Normal 3 3 3 8 3 3" xfId="8950" xr:uid="{00000000-0005-0000-0000-0000122A0000}"/>
    <cellStyle name="Normal 3 3 3 8 4" xfId="4348" xr:uid="{00000000-0005-0000-0000-0000132A0000}"/>
    <cellStyle name="Normal 3 3 3 8 4 2" xfId="9854" xr:uid="{00000000-0005-0000-0000-0000142A0000}"/>
    <cellStyle name="Normal 3 3 3 8 5" xfId="7196" xr:uid="{00000000-0005-0000-0000-0000152A0000}"/>
    <cellStyle name="Normal 3 3 3 9" xfId="1631" xr:uid="{00000000-0005-0000-0000-0000162A0000}"/>
    <cellStyle name="Normal 3 3 3 9 2" xfId="4981" xr:uid="{00000000-0005-0000-0000-0000172A0000}"/>
    <cellStyle name="Normal 3 3 3 9 2 2" xfId="10295" xr:uid="{00000000-0005-0000-0000-0000182A0000}"/>
    <cellStyle name="Normal 3 3 3 9 3" xfId="7637" xr:uid="{00000000-0005-0000-0000-0000192A0000}"/>
    <cellStyle name="Normal 3 3 4" xfId="6697" xr:uid="{00000000-0005-0000-0000-00001A2A0000}"/>
    <cellStyle name="Normal 3 3 5" xfId="9363" xr:uid="{00000000-0005-0000-0000-00001B2A0000}"/>
    <cellStyle name="Normal 3 4" xfId="3519" xr:uid="{00000000-0005-0000-0000-00001C2A0000}"/>
    <cellStyle name="Normal 3 4 2" xfId="197" xr:uid="{00000000-0005-0000-0000-00001D2A0000}"/>
    <cellStyle name="Normal 3 5" xfId="3515" xr:uid="{00000000-0005-0000-0000-00001E2A0000}"/>
    <cellStyle name="Normal 3 5 2" xfId="9362" xr:uid="{00000000-0005-0000-0000-00001F2A0000}"/>
    <cellStyle name="Normal 3 6" xfId="12015" xr:uid="{4FBAD8A4-F4BA-4BAB-BB53-4CA3A8A3C977}"/>
    <cellStyle name="Normal 4" xfId="52" xr:uid="{00000000-0005-0000-0000-0000202A0000}"/>
    <cellStyle name="Normal 4 2" xfId="53" xr:uid="{00000000-0005-0000-0000-0000212A0000}"/>
    <cellStyle name="Normal 4 2 2" xfId="3522" xr:uid="{00000000-0005-0000-0000-0000222A0000}"/>
    <cellStyle name="Normal 4 2 3" xfId="3521" xr:uid="{00000000-0005-0000-0000-0000232A0000}"/>
    <cellStyle name="Normal 4 3" xfId="183" xr:uid="{00000000-0005-0000-0000-0000242A0000}"/>
    <cellStyle name="Normal 4 3 10" xfId="3523" xr:uid="{00000000-0005-0000-0000-0000252A0000}"/>
    <cellStyle name="Normal 4 3 11" xfId="3631" xr:uid="{00000000-0005-0000-0000-0000262A0000}"/>
    <cellStyle name="Normal 4 3 11 2" xfId="9386" xr:uid="{00000000-0005-0000-0000-0000272A0000}"/>
    <cellStyle name="Normal 4 3 12" xfId="6723" xr:uid="{00000000-0005-0000-0000-0000282A0000}"/>
    <cellStyle name="Normal 4 3 2" xfId="184" xr:uid="{00000000-0005-0000-0000-0000292A0000}"/>
    <cellStyle name="Normal 4 3 2 10" xfId="6724" xr:uid="{00000000-0005-0000-0000-00002A2A0000}"/>
    <cellStyle name="Normal 4 3 2 2" xfId="224" xr:uid="{00000000-0005-0000-0000-00002B2A0000}"/>
    <cellStyle name="Normal 4 3 2 2 2" xfId="419" xr:uid="{00000000-0005-0000-0000-00002C2A0000}"/>
    <cellStyle name="Normal 4 3 2 2 2 2" xfId="742" xr:uid="{00000000-0005-0000-0000-00002D2A0000}"/>
    <cellStyle name="Normal 4 3 2 2 2 2 2" xfId="1429" xr:uid="{00000000-0005-0000-0000-00002E2A0000}"/>
    <cellStyle name="Normal 4 3 2 2 2 2 2 2" xfId="2361" xr:uid="{00000000-0005-0000-0000-00002F2A0000}"/>
    <cellStyle name="Normal 4 3 2 2 2 2 2 2 2" xfId="5708" xr:uid="{00000000-0005-0000-0000-0000302A0000}"/>
    <cellStyle name="Normal 4 3 2 2 2 2 2 2 2 2" xfId="11022" xr:uid="{00000000-0005-0000-0000-0000312A0000}"/>
    <cellStyle name="Normal 4 3 2 2 2 2 2 2 3" xfId="8364" xr:uid="{00000000-0005-0000-0000-0000322A0000}"/>
    <cellStyle name="Normal 4 3 2 2 2 2 2 3" xfId="3282" xr:uid="{00000000-0005-0000-0000-0000332A0000}"/>
    <cellStyle name="Normal 4 3 2 2 2 2 2 3 2" xfId="6585" xr:uid="{00000000-0005-0000-0000-0000342A0000}"/>
    <cellStyle name="Normal 4 3 2 2 2 2 2 3 2 2" xfId="11899" xr:uid="{00000000-0005-0000-0000-0000352A0000}"/>
    <cellStyle name="Normal 4 3 2 2 2 2 2 3 3" xfId="9241" xr:uid="{00000000-0005-0000-0000-0000362A0000}"/>
    <cellStyle name="Normal 4 3 2 2 2 2 2 4" xfId="4821" xr:uid="{00000000-0005-0000-0000-0000372A0000}"/>
    <cellStyle name="Normal 4 3 2 2 2 2 2 4 2" xfId="10145" xr:uid="{00000000-0005-0000-0000-0000382A0000}"/>
    <cellStyle name="Normal 4 3 2 2 2 2 2 5" xfId="7487" xr:uid="{00000000-0005-0000-0000-0000392A0000}"/>
    <cellStyle name="Normal 4 3 2 2 2 2 3" xfId="1923" xr:uid="{00000000-0005-0000-0000-00003A2A0000}"/>
    <cellStyle name="Normal 4 3 2 2 2 2 3 2" xfId="5272" xr:uid="{00000000-0005-0000-0000-00003B2A0000}"/>
    <cellStyle name="Normal 4 3 2 2 2 2 3 2 2" xfId="10586" xr:uid="{00000000-0005-0000-0000-00003C2A0000}"/>
    <cellStyle name="Normal 4 3 2 2 2 2 3 3" xfId="7928" xr:uid="{00000000-0005-0000-0000-00003D2A0000}"/>
    <cellStyle name="Normal 4 3 2 2 2 2 4" xfId="2844" xr:uid="{00000000-0005-0000-0000-00003E2A0000}"/>
    <cellStyle name="Normal 4 3 2 2 2 2 4 2" xfId="6149" xr:uid="{00000000-0005-0000-0000-00003F2A0000}"/>
    <cellStyle name="Normal 4 3 2 2 2 2 4 2 2" xfId="11463" xr:uid="{00000000-0005-0000-0000-0000402A0000}"/>
    <cellStyle name="Normal 4 3 2 2 2 2 4 3" xfId="8805" xr:uid="{00000000-0005-0000-0000-0000412A0000}"/>
    <cellStyle name="Normal 4 3 2 2 2 2 5" xfId="4136" xr:uid="{00000000-0005-0000-0000-0000422A0000}"/>
    <cellStyle name="Normal 4 3 2 2 2 2 5 2" xfId="9709" xr:uid="{00000000-0005-0000-0000-0000432A0000}"/>
    <cellStyle name="Normal 4 3 2 2 2 2 6" xfId="7051" xr:uid="{00000000-0005-0000-0000-0000442A0000}"/>
    <cellStyle name="Normal 4 3 2 2 2 3" xfId="1107" xr:uid="{00000000-0005-0000-0000-0000452A0000}"/>
    <cellStyle name="Normal 4 3 2 2 2 3 2" xfId="2161" xr:uid="{00000000-0005-0000-0000-0000462A0000}"/>
    <cellStyle name="Normal 4 3 2 2 2 3 2 2" xfId="5508" xr:uid="{00000000-0005-0000-0000-0000472A0000}"/>
    <cellStyle name="Normal 4 3 2 2 2 3 2 2 2" xfId="10822" xr:uid="{00000000-0005-0000-0000-0000482A0000}"/>
    <cellStyle name="Normal 4 3 2 2 2 3 2 3" xfId="8164" xr:uid="{00000000-0005-0000-0000-0000492A0000}"/>
    <cellStyle name="Normal 4 3 2 2 2 3 3" xfId="3082" xr:uid="{00000000-0005-0000-0000-00004A2A0000}"/>
    <cellStyle name="Normal 4 3 2 2 2 3 3 2" xfId="6385" xr:uid="{00000000-0005-0000-0000-00004B2A0000}"/>
    <cellStyle name="Normal 4 3 2 2 2 3 3 2 2" xfId="11699" xr:uid="{00000000-0005-0000-0000-00004C2A0000}"/>
    <cellStyle name="Normal 4 3 2 2 2 3 3 3" xfId="9041" xr:uid="{00000000-0005-0000-0000-00004D2A0000}"/>
    <cellStyle name="Normal 4 3 2 2 2 3 4" xfId="4499" xr:uid="{00000000-0005-0000-0000-00004E2A0000}"/>
    <cellStyle name="Normal 4 3 2 2 2 3 4 2" xfId="9945" xr:uid="{00000000-0005-0000-0000-00004F2A0000}"/>
    <cellStyle name="Normal 4 3 2 2 2 3 5" xfId="7287" xr:uid="{00000000-0005-0000-0000-0000502A0000}"/>
    <cellStyle name="Normal 4 3 2 2 2 4" xfId="1723" xr:uid="{00000000-0005-0000-0000-0000512A0000}"/>
    <cellStyle name="Normal 4 3 2 2 2 4 2" xfId="5072" xr:uid="{00000000-0005-0000-0000-0000522A0000}"/>
    <cellStyle name="Normal 4 3 2 2 2 4 2 2" xfId="10386" xr:uid="{00000000-0005-0000-0000-0000532A0000}"/>
    <cellStyle name="Normal 4 3 2 2 2 4 3" xfId="7728" xr:uid="{00000000-0005-0000-0000-0000542A0000}"/>
    <cellStyle name="Normal 4 3 2 2 2 5" xfId="2644" xr:uid="{00000000-0005-0000-0000-0000552A0000}"/>
    <cellStyle name="Normal 4 3 2 2 2 5 2" xfId="5949" xr:uid="{00000000-0005-0000-0000-0000562A0000}"/>
    <cellStyle name="Normal 4 3 2 2 2 5 2 2" xfId="11263" xr:uid="{00000000-0005-0000-0000-0000572A0000}"/>
    <cellStyle name="Normal 4 3 2 2 2 5 3" xfId="8605" xr:uid="{00000000-0005-0000-0000-0000582A0000}"/>
    <cellStyle name="Normal 4 3 2 2 2 6" xfId="3814" xr:uid="{00000000-0005-0000-0000-0000592A0000}"/>
    <cellStyle name="Normal 4 3 2 2 2 6 2" xfId="9509" xr:uid="{00000000-0005-0000-0000-00005A2A0000}"/>
    <cellStyle name="Normal 4 3 2 2 2 7" xfId="6851" xr:uid="{00000000-0005-0000-0000-00005B2A0000}"/>
    <cellStyle name="Normal 4 3 2 2 3" xfId="593" xr:uid="{00000000-0005-0000-0000-00005C2A0000}"/>
    <cellStyle name="Normal 4 3 2 2 3 2" xfId="1280" xr:uid="{00000000-0005-0000-0000-00005D2A0000}"/>
    <cellStyle name="Normal 4 3 2 2 3 2 2" xfId="2272" xr:uid="{00000000-0005-0000-0000-00005E2A0000}"/>
    <cellStyle name="Normal 4 3 2 2 3 2 2 2" xfId="5619" xr:uid="{00000000-0005-0000-0000-00005F2A0000}"/>
    <cellStyle name="Normal 4 3 2 2 3 2 2 2 2" xfId="10933" xr:uid="{00000000-0005-0000-0000-0000602A0000}"/>
    <cellStyle name="Normal 4 3 2 2 3 2 2 3" xfId="8275" xr:uid="{00000000-0005-0000-0000-0000612A0000}"/>
    <cellStyle name="Normal 4 3 2 2 3 2 3" xfId="3193" xr:uid="{00000000-0005-0000-0000-0000622A0000}"/>
    <cellStyle name="Normal 4 3 2 2 3 2 3 2" xfId="6496" xr:uid="{00000000-0005-0000-0000-0000632A0000}"/>
    <cellStyle name="Normal 4 3 2 2 3 2 3 2 2" xfId="11810" xr:uid="{00000000-0005-0000-0000-0000642A0000}"/>
    <cellStyle name="Normal 4 3 2 2 3 2 3 3" xfId="9152" xr:uid="{00000000-0005-0000-0000-0000652A0000}"/>
    <cellStyle name="Normal 4 3 2 2 3 2 4" xfId="4672" xr:uid="{00000000-0005-0000-0000-0000662A0000}"/>
    <cellStyle name="Normal 4 3 2 2 3 2 4 2" xfId="10056" xr:uid="{00000000-0005-0000-0000-0000672A0000}"/>
    <cellStyle name="Normal 4 3 2 2 3 2 5" xfId="7398" xr:uid="{00000000-0005-0000-0000-0000682A0000}"/>
    <cellStyle name="Normal 4 3 2 2 3 3" xfId="1834" xr:uid="{00000000-0005-0000-0000-0000692A0000}"/>
    <cellStyle name="Normal 4 3 2 2 3 3 2" xfId="5183" xr:uid="{00000000-0005-0000-0000-00006A2A0000}"/>
    <cellStyle name="Normal 4 3 2 2 3 3 2 2" xfId="10497" xr:uid="{00000000-0005-0000-0000-00006B2A0000}"/>
    <cellStyle name="Normal 4 3 2 2 3 3 3" xfId="7839" xr:uid="{00000000-0005-0000-0000-00006C2A0000}"/>
    <cellStyle name="Normal 4 3 2 2 3 4" xfId="2755" xr:uid="{00000000-0005-0000-0000-00006D2A0000}"/>
    <cellStyle name="Normal 4 3 2 2 3 4 2" xfId="6060" xr:uid="{00000000-0005-0000-0000-00006E2A0000}"/>
    <cellStyle name="Normal 4 3 2 2 3 4 2 2" xfId="11374" xr:uid="{00000000-0005-0000-0000-00006F2A0000}"/>
    <cellStyle name="Normal 4 3 2 2 3 4 3" xfId="8716" xr:uid="{00000000-0005-0000-0000-0000702A0000}"/>
    <cellStyle name="Normal 4 3 2 2 3 5" xfId="3987" xr:uid="{00000000-0005-0000-0000-0000712A0000}"/>
    <cellStyle name="Normal 4 3 2 2 3 5 2" xfId="9620" xr:uid="{00000000-0005-0000-0000-0000722A0000}"/>
    <cellStyle name="Normal 4 3 2 2 3 6" xfId="6962" xr:uid="{00000000-0005-0000-0000-0000732A0000}"/>
    <cellStyle name="Normal 4 3 2 2 4" xfId="958" xr:uid="{00000000-0005-0000-0000-0000742A0000}"/>
    <cellStyle name="Normal 4 3 2 2 4 2" xfId="2072" xr:uid="{00000000-0005-0000-0000-0000752A0000}"/>
    <cellStyle name="Normal 4 3 2 2 4 2 2" xfId="5419" xr:uid="{00000000-0005-0000-0000-0000762A0000}"/>
    <cellStyle name="Normal 4 3 2 2 4 2 2 2" xfId="10733" xr:uid="{00000000-0005-0000-0000-0000772A0000}"/>
    <cellStyle name="Normal 4 3 2 2 4 2 3" xfId="8075" xr:uid="{00000000-0005-0000-0000-0000782A0000}"/>
    <cellStyle name="Normal 4 3 2 2 4 3" xfId="2993" xr:uid="{00000000-0005-0000-0000-0000792A0000}"/>
    <cellStyle name="Normal 4 3 2 2 4 3 2" xfId="6296" xr:uid="{00000000-0005-0000-0000-00007A2A0000}"/>
    <cellStyle name="Normal 4 3 2 2 4 3 2 2" xfId="11610" xr:uid="{00000000-0005-0000-0000-00007B2A0000}"/>
    <cellStyle name="Normal 4 3 2 2 4 3 3" xfId="8952" xr:uid="{00000000-0005-0000-0000-00007C2A0000}"/>
    <cellStyle name="Normal 4 3 2 2 4 4" xfId="4350" xr:uid="{00000000-0005-0000-0000-00007D2A0000}"/>
    <cellStyle name="Normal 4 3 2 2 4 4 2" xfId="9856" xr:uid="{00000000-0005-0000-0000-00007E2A0000}"/>
    <cellStyle name="Normal 4 3 2 2 4 5" xfId="7198" xr:uid="{00000000-0005-0000-0000-00007F2A0000}"/>
    <cellStyle name="Normal 4 3 2 2 5" xfId="1633" xr:uid="{00000000-0005-0000-0000-0000802A0000}"/>
    <cellStyle name="Normal 4 3 2 2 5 2" xfId="4983" xr:uid="{00000000-0005-0000-0000-0000812A0000}"/>
    <cellStyle name="Normal 4 3 2 2 5 2 2" xfId="10297" xr:uid="{00000000-0005-0000-0000-0000822A0000}"/>
    <cellStyle name="Normal 4 3 2 2 5 3" xfId="7639" xr:uid="{00000000-0005-0000-0000-0000832A0000}"/>
    <cellStyle name="Normal 4 3 2 2 6" xfId="2554" xr:uid="{00000000-0005-0000-0000-0000842A0000}"/>
    <cellStyle name="Normal 4 3 2 2 6 2" xfId="5860" xr:uid="{00000000-0005-0000-0000-0000852A0000}"/>
    <cellStyle name="Normal 4 3 2 2 6 2 2" xfId="11174" xr:uid="{00000000-0005-0000-0000-0000862A0000}"/>
    <cellStyle name="Normal 4 3 2 2 6 3" xfId="8516" xr:uid="{00000000-0005-0000-0000-0000872A0000}"/>
    <cellStyle name="Normal 4 3 2 2 7" xfId="3665" xr:uid="{00000000-0005-0000-0000-0000882A0000}"/>
    <cellStyle name="Normal 4 3 2 2 7 2" xfId="9420" xr:uid="{00000000-0005-0000-0000-0000892A0000}"/>
    <cellStyle name="Normal 4 3 2 2 8" xfId="6757" xr:uid="{00000000-0005-0000-0000-00008A2A0000}"/>
    <cellStyle name="Normal 4 3 2 3" xfId="216" xr:uid="{00000000-0005-0000-0000-00008B2A0000}"/>
    <cellStyle name="Normal 4 3 2 3 2" xfId="411" xr:uid="{00000000-0005-0000-0000-00008C2A0000}"/>
    <cellStyle name="Normal 4 3 2 3 2 2" xfId="734" xr:uid="{00000000-0005-0000-0000-00008D2A0000}"/>
    <cellStyle name="Normal 4 3 2 3 2 2 2" xfId="1421" xr:uid="{00000000-0005-0000-0000-00008E2A0000}"/>
    <cellStyle name="Normal 4 3 2 3 2 2 2 2" xfId="2353" xr:uid="{00000000-0005-0000-0000-00008F2A0000}"/>
    <cellStyle name="Normal 4 3 2 3 2 2 2 2 2" xfId="5700" xr:uid="{00000000-0005-0000-0000-0000902A0000}"/>
    <cellStyle name="Normal 4 3 2 3 2 2 2 2 2 2" xfId="11014" xr:uid="{00000000-0005-0000-0000-0000912A0000}"/>
    <cellStyle name="Normal 4 3 2 3 2 2 2 2 3" xfId="8356" xr:uid="{00000000-0005-0000-0000-0000922A0000}"/>
    <cellStyle name="Normal 4 3 2 3 2 2 2 3" xfId="3274" xr:uid="{00000000-0005-0000-0000-0000932A0000}"/>
    <cellStyle name="Normal 4 3 2 3 2 2 2 3 2" xfId="6577" xr:uid="{00000000-0005-0000-0000-0000942A0000}"/>
    <cellStyle name="Normal 4 3 2 3 2 2 2 3 2 2" xfId="11891" xr:uid="{00000000-0005-0000-0000-0000952A0000}"/>
    <cellStyle name="Normal 4 3 2 3 2 2 2 3 3" xfId="9233" xr:uid="{00000000-0005-0000-0000-0000962A0000}"/>
    <cellStyle name="Normal 4 3 2 3 2 2 2 4" xfId="4813" xr:uid="{00000000-0005-0000-0000-0000972A0000}"/>
    <cellStyle name="Normal 4 3 2 3 2 2 2 4 2" xfId="10137" xr:uid="{00000000-0005-0000-0000-0000982A0000}"/>
    <cellStyle name="Normal 4 3 2 3 2 2 2 5" xfId="7479" xr:uid="{00000000-0005-0000-0000-0000992A0000}"/>
    <cellStyle name="Normal 4 3 2 3 2 2 3" xfId="1915" xr:uid="{00000000-0005-0000-0000-00009A2A0000}"/>
    <cellStyle name="Normal 4 3 2 3 2 2 3 2" xfId="5264" xr:uid="{00000000-0005-0000-0000-00009B2A0000}"/>
    <cellStyle name="Normal 4 3 2 3 2 2 3 2 2" xfId="10578" xr:uid="{00000000-0005-0000-0000-00009C2A0000}"/>
    <cellStyle name="Normal 4 3 2 3 2 2 3 3" xfId="7920" xr:uid="{00000000-0005-0000-0000-00009D2A0000}"/>
    <cellStyle name="Normal 4 3 2 3 2 2 4" xfId="2836" xr:uid="{00000000-0005-0000-0000-00009E2A0000}"/>
    <cellStyle name="Normal 4 3 2 3 2 2 4 2" xfId="6141" xr:uid="{00000000-0005-0000-0000-00009F2A0000}"/>
    <cellStyle name="Normal 4 3 2 3 2 2 4 2 2" xfId="11455" xr:uid="{00000000-0005-0000-0000-0000A02A0000}"/>
    <cellStyle name="Normal 4 3 2 3 2 2 4 3" xfId="8797" xr:uid="{00000000-0005-0000-0000-0000A12A0000}"/>
    <cellStyle name="Normal 4 3 2 3 2 2 5" xfId="4128" xr:uid="{00000000-0005-0000-0000-0000A22A0000}"/>
    <cellStyle name="Normal 4 3 2 3 2 2 5 2" xfId="9701" xr:uid="{00000000-0005-0000-0000-0000A32A0000}"/>
    <cellStyle name="Normal 4 3 2 3 2 2 6" xfId="7043" xr:uid="{00000000-0005-0000-0000-0000A42A0000}"/>
    <cellStyle name="Normal 4 3 2 3 2 3" xfId="1099" xr:uid="{00000000-0005-0000-0000-0000A52A0000}"/>
    <cellStyle name="Normal 4 3 2 3 2 3 2" xfId="2153" xr:uid="{00000000-0005-0000-0000-0000A62A0000}"/>
    <cellStyle name="Normal 4 3 2 3 2 3 2 2" xfId="5500" xr:uid="{00000000-0005-0000-0000-0000A72A0000}"/>
    <cellStyle name="Normal 4 3 2 3 2 3 2 2 2" xfId="10814" xr:uid="{00000000-0005-0000-0000-0000A82A0000}"/>
    <cellStyle name="Normal 4 3 2 3 2 3 2 3" xfId="8156" xr:uid="{00000000-0005-0000-0000-0000A92A0000}"/>
    <cellStyle name="Normal 4 3 2 3 2 3 3" xfId="3074" xr:uid="{00000000-0005-0000-0000-0000AA2A0000}"/>
    <cellStyle name="Normal 4 3 2 3 2 3 3 2" xfId="6377" xr:uid="{00000000-0005-0000-0000-0000AB2A0000}"/>
    <cellStyle name="Normal 4 3 2 3 2 3 3 2 2" xfId="11691" xr:uid="{00000000-0005-0000-0000-0000AC2A0000}"/>
    <cellStyle name="Normal 4 3 2 3 2 3 3 3" xfId="9033" xr:uid="{00000000-0005-0000-0000-0000AD2A0000}"/>
    <cellStyle name="Normal 4 3 2 3 2 3 4" xfId="4491" xr:uid="{00000000-0005-0000-0000-0000AE2A0000}"/>
    <cellStyle name="Normal 4 3 2 3 2 3 4 2" xfId="9937" xr:uid="{00000000-0005-0000-0000-0000AF2A0000}"/>
    <cellStyle name="Normal 4 3 2 3 2 3 5" xfId="7279" xr:uid="{00000000-0005-0000-0000-0000B02A0000}"/>
    <cellStyle name="Normal 4 3 2 3 2 4" xfId="1715" xr:uid="{00000000-0005-0000-0000-0000B12A0000}"/>
    <cellStyle name="Normal 4 3 2 3 2 4 2" xfId="5064" xr:uid="{00000000-0005-0000-0000-0000B22A0000}"/>
    <cellStyle name="Normal 4 3 2 3 2 4 2 2" xfId="10378" xr:uid="{00000000-0005-0000-0000-0000B32A0000}"/>
    <cellStyle name="Normal 4 3 2 3 2 4 3" xfId="7720" xr:uid="{00000000-0005-0000-0000-0000B42A0000}"/>
    <cellStyle name="Normal 4 3 2 3 2 5" xfId="2636" xr:uid="{00000000-0005-0000-0000-0000B52A0000}"/>
    <cellStyle name="Normal 4 3 2 3 2 5 2" xfId="5941" xr:uid="{00000000-0005-0000-0000-0000B62A0000}"/>
    <cellStyle name="Normal 4 3 2 3 2 5 2 2" xfId="11255" xr:uid="{00000000-0005-0000-0000-0000B72A0000}"/>
    <cellStyle name="Normal 4 3 2 3 2 5 3" xfId="8597" xr:uid="{00000000-0005-0000-0000-0000B82A0000}"/>
    <cellStyle name="Normal 4 3 2 3 2 6" xfId="3806" xr:uid="{00000000-0005-0000-0000-0000B92A0000}"/>
    <cellStyle name="Normal 4 3 2 3 2 6 2" xfId="9501" xr:uid="{00000000-0005-0000-0000-0000BA2A0000}"/>
    <cellStyle name="Normal 4 3 2 3 2 7" xfId="6843" xr:uid="{00000000-0005-0000-0000-0000BB2A0000}"/>
    <cellStyle name="Normal 4 3 2 3 3" xfId="585" xr:uid="{00000000-0005-0000-0000-0000BC2A0000}"/>
    <cellStyle name="Normal 4 3 2 3 3 2" xfId="1272" xr:uid="{00000000-0005-0000-0000-0000BD2A0000}"/>
    <cellStyle name="Normal 4 3 2 3 3 2 2" xfId="2264" xr:uid="{00000000-0005-0000-0000-0000BE2A0000}"/>
    <cellStyle name="Normal 4 3 2 3 3 2 2 2" xfId="5611" xr:uid="{00000000-0005-0000-0000-0000BF2A0000}"/>
    <cellStyle name="Normal 4 3 2 3 3 2 2 2 2" xfId="10925" xr:uid="{00000000-0005-0000-0000-0000C02A0000}"/>
    <cellStyle name="Normal 4 3 2 3 3 2 2 3" xfId="8267" xr:uid="{00000000-0005-0000-0000-0000C12A0000}"/>
    <cellStyle name="Normal 4 3 2 3 3 2 3" xfId="3185" xr:uid="{00000000-0005-0000-0000-0000C22A0000}"/>
    <cellStyle name="Normal 4 3 2 3 3 2 3 2" xfId="6488" xr:uid="{00000000-0005-0000-0000-0000C32A0000}"/>
    <cellStyle name="Normal 4 3 2 3 3 2 3 2 2" xfId="11802" xr:uid="{00000000-0005-0000-0000-0000C42A0000}"/>
    <cellStyle name="Normal 4 3 2 3 3 2 3 3" xfId="9144" xr:uid="{00000000-0005-0000-0000-0000C52A0000}"/>
    <cellStyle name="Normal 4 3 2 3 3 2 4" xfId="4664" xr:uid="{00000000-0005-0000-0000-0000C62A0000}"/>
    <cellStyle name="Normal 4 3 2 3 3 2 4 2" xfId="10048" xr:uid="{00000000-0005-0000-0000-0000C72A0000}"/>
    <cellStyle name="Normal 4 3 2 3 3 2 5" xfId="7390" xr:uid="{00000000-0005-0000-0000-0000C82A0000}"/>
    <cellStyle name="Normal 4 3 2 3 3 3" xfId="1826" xr:uid="{00000000-0005-0000-0000-0000C92A0000}"/>
    <cellStyle name="Normal 4 3 2 3 3 3 2" xfId="5175" xr:uid="{00000000-0005-0000-0000-0000CA2A0000}"/>
    <cellStyle name="Normal 4 3 2 3 3 3 2 2" xfId="10489" xr:uid="{00000000-0005-0000-0000-0000CB2A0000}"/>
    <cellStyle name="Normal 4 3 2 3 3 3 3" xfId="7831" xr:uid="{00000000-0005-0000-0000-0000CC2A0000}"/>
    <cellStyle name="Normal 4 3 2 3 3 4" xfId="2747" xr:uid="{00000000-0005-0000-0000-0000CD2A0000}"/>
    <cellStyle name="Normal 4 3 2 3 3 4 2" xfId="6052" xr:uid="{00000000-0005-0000-0000-0000CE2A0000}"/>
    <cellStyle name="Normal 4 3 2 3 3 4 2 2" xfId="11366" xr:uid="{00000000-0005-0000-0000-0000CF2A0000}"/>
    <cellStyle name="Normal 4 3 2 3 3 4 3" xfId="8708" xr:uid="{00000000-0005-0000-0000-0000D02A0000}"/>
    <cellStyle name="Normal 4 3 2 3 3 5" xfId="3979" xr:uid="{00000000-0005-0000-0000-0000D12A0000}"/>
    <cellStyle name="Normal 4 3 2 3 3 5 2" xfId="9612" xr:uid="{00000000-0005-0000-0000-0000D22A0000}"/>
    <cellStyle name="Normal 4 3 2 3 3 6" xfId="6954" xr:uid="{00000000-0005-0000-0000-0000D32A0000}"/>
    <cellStyle name="Normal 4 3 2 3 4" xfId="950" xr:uid="{00000000-0005-0000-0000-0000D42A0000}"/>
    <cellStyle name="Normal 4 3 2 3 4 2" xfId="2064" xr:uid="{00000000-0005-0000-0000-0000D52A0000}"/>
    <cellStyle name="Normal 4 3 2 3 4 2 2" xfId="5411" xr:uid="{00000000-0005-0000-0000-0000D62A0000}"/>
    <cellStyle name="Normal 4 3 2 3 4 2 2 2" xfId="10725" xr:uid="{00000000-0005-0000-0000-0000D72A0000}"/>
    <cellStyle name="Normal 4 3 2 3 4 2 3" xfId="8067" xr:uid="{00000000-0005-0000-0000-0000D82A0000}"/>
    <cellStyle name="Normal 4 3 2 3 4 3" xfId="2985" xr:uid="{00000000-0005-0000-0000-0000D92A0000}"/>
    <cellStyle name="Normal 4 3 2 3 4 3 2" xfId="6288" xr:uid="{00000000-0005-0000-0000-0000DA2A0000}"/>
    <cellStyle name="Normal 4 3 2 3 4 3 2 2" xfId="11602" xr:uid="{00000000-0005-0000-0000-0000DB2A0000}"/>
    <cellStyle name="Normal 4 3 2 3 4 3 3" xfId="8944" xr:uid="{00000000-0005-0000-0000-0000DC2A0000}"/>
    <cellStyle name="Normal 4 3 2 3 4 4" xfId="4342" xr:uid="{00000000-0005-0000-0000-0000DD2A0000}"/>
    <cellStyle name="Normal 4 3 2 3 4 4 2" xfId="9848" xr:uid="{00000000-0005-0000-0000-0000DE2A0000}"/>
    <cellStyle name="Normal 4 3 2 3 4 5" xfId="7190" xr:uid="{00000000-0005-0000-0000-0000DF2A0000}"/>
    <cellStyle name="Normal 4 3 2 3 5" xfId="1625" xr:uid="{00000000-0005-0000-0000-0000E02A0000}"/>
    <cellStyle name="Normal 4 3 2 3 5 2" xfId="4975" xr:uid="{00000000-0005-0000-0000-0000E12A0000}"/>
    <cellStyle name="Normal 4 3 2 3 5 2 2" xfId="10289" xr:uid="{00000000-0005-0000-0000-0000E22A0000}"/>
    <cellStyle name="Normal 4 3 2 3 5 3" xfId="7631" xr:uid="{00000000-0005-0000-0000-0000E32A0000}"/>
    <cellStyle name="Normal 4 3 2 3 6" xfId="2546" xr:uid="{00000000-0005-0000-0000-0000E42A0000}"/>
    <cellStyle name="Normal 4 3 2 3 6 2" xfId="5852" xr:uid="{00000000-0005-0000-0000-0000E52A0000}"/>
    <cellStyle name="Normal 4 3 2 3 6 2 2" xfId="11166" xr:uid="{00000000-0005-0000-0000-0000E62A0000}"/>
    <cellStyle name="Normal 4 3 2 3 6 3" xfId="8508" xr:uid="{00000000-0005-0000-0000-0000E72A0000}"/>
    <cellStyle name="Normal 4 3 2 3 7" xfId="3657" xr:uid="{00000000-0005-0000-0000-0000E82A0000}"/>
    <cellStyle name="Normal 4 3 2 3 7 2" xfId="9412" xr:uid="{00000000-0005-0000-0000-0000E92A0000}"/>
    <cellStyle name="Normal 4 3 2 3 8" xfId="6749" xr:uid="{00000000-0005-0000-0000-0000EA2A0000}"/>
    <cellStyle name="Normal 4 3 2 4" xfId="385" xr:uid="{00000000-0005-0000-0000-0000EB2A0000}"/>
    <cellStyle name="Normal 4 3 2 4 2" xfId="708" xr:uid="{00000000-0005-0000-0000-0000EC2A0000}"/>
    <cellStyle name="Normal 4 3 2 4 2 2" xfId="1395" xr:uid="{00000000-0005-0000-0000-0000ED2A0000}"/>
    <cellStyle name="Normal 4 3 2 4 2 2 2" xfId="2328" xr:uid="{00000000-0005-0000-0000-0000EE2A0000}"/>
    <cellStyle name="Normal 4 3 2 4 2 2 2 2" xfId="5675" xr:uid="{00000000-0005-0000-0000-0000EF2A0000}"/>
    <cellStyle name="Normal 4 3 2 4 2 2 2 2 2" xfId="10989" xr:uid="{00000000-0005-0000-0000-0000F02A0000}"/>
    <cellStyle name="Normal 4 3 2 4 2 2 2 3" xfId="8331" xr:uid="{00000000-0005-0000-0000-0000F12A0000}"/>
    <cellStyle name="Normal 4 3 2 4 2 2 3" xfId="3249" xr:uid="{00000000-0005-0000-0000-0000F22A0000}"/>
    <cellStyle name="Normal 4 3 2 4 2 2 3 2" xfId="6552" xr:uid="{00000000-0005-0000-0000-0000F32A0000}"/>
    <cellStyle name="Normal 4 3 2 4 2 2 3 2 2" xfId="11866" xr:uid="{00000000-0005-0000-0000-0000F42A0000}"/>
    <cellStyle name="Normal 4 3 2 4 2 2 3 3" xfId="9208" xr:uid="{00000000-0005-0000-0000-0000F52A0000}"/>
    <cellStyle name="Normal 4 3 2 4 2 2 4" xfId="4787" xr:uid="{00000000-0005-0000-0000-0000F62A0000}"/>
    <cellStyle name="Normal 4 3 2 4 2 2 4 2" xfId="10112" xr:uid="{00000000-0005-0000-0000-0000F72A0000}"/>
    <cellStyle name="Normal 4 3 2 4 2 2 5" xfId="7454" xr:uid="{00000000-0005-0000-0000-0000F82A0000}"/>
    <cellStyle name="Normal 4 3 2 4 2 3" xfId="1890" xr:uid="{00000000-0005-0000-0000-0000F92A0000}"/>
    <cellStyle name="Normal 4 3 2 4 2 3 2" xfId="5239" xr:uid="{00000000-0005-0000-0000-0000FA2A0000}"/>
    <cellStyle name="Normal 4 3 2 4 2 3 2 2" xfId="10553" xr:uid="{00000000-0005-0000-0000-0000FB2A0000}"/>
    <cellStyle name="Normal 4 3 2 4 2 3 3" xfId="7895" xr:uid="{00000000-0005-0000-0000-0000FC2A0000}"/>
    <cellStyle name="Normal 4 3 2 4 2 4" xfId="2811" xr:uid="{00000000-0005-0000-0000-0000FD2A0000}"/>
    <cellStyle name="Normal 4 3 2 4 2 4 2" xfId="6116" xr:uid="{00000000-0005-0000-0000-0000FE2A0000}"/>
    <cellStyle name="Normal 4 3 2 4 2 4 2 2" xfId="11430" xr:uid="{00000000-0005-0000-0000-0000FF2A0000}"/>
    <cellStyle name="Normal 4 3 2 4 2 4 3" xfId="8772" xr:uid="{00000000-0005-0000-0000-0000002B0000}"/>
    <cellStyle name="Normal 4 3 2 4 2 5" xfId="4102" xr:uid="{00000000-0005-0000-0000-0000012B0000}"/>
    <cellStyle name="Normal 4 3 2 4 2 5 2" xfId="9676" xr:uid="{00000000-0005-0000-0000-0000022B0000}"/>
    <cellStyle name="Normal 4 3 2 4 2 6" xfId="7018" xr:uid="{00000000-0005-0000-0000-0000032B0000}"/>
    <cellStyle name="Normal 4 3 2 4 3" xfId="1073" xr:uid="{00000000-0005-0000-0000-0000042B0000}"/>
    <cellStyle name="Normal 4 3 2 4 3 2" xfId="2128" xr:uid="{00000000-0005-0000-0000-0000052B0000}"/>
    <cellStyle name="Normal 4 3 2 4 3 2 2" xfId="5475" xr:uid="{00000000-0005-0000-0000-0000062B0000}"/>
    <cellStyle name="Normal 4 3 2 4 3 2 2 2" xfId="10789" xr:uid="{00000000-0005-0000-0000-0000072B0000}"/>
    <cellStyle name="Normal 4 3 2 4 3 2 3" xfId="8131" xr:uid="{00000000-0005-0000-0000-0000082B0000}"/>
    <cellStyle name="Normal 4 3 2 4 3 3" xfId="3049" xr:uid="{00000000-0005-0000-0000-0000092B0000}"/>
    <cellStyle name="Normal 4 3 2 4 3 3 2" xfId="6352" xr:uid="{00000000-0005-0000-0000-00000A2B0000}"/>
    <cellStyle name="Normal 4 3 2 4 3 3 2 2" xfId="11666" xr:uid="{00000000-0005-0000-0000-00000B2B0000}"/>
    <cellStyle name="Normal 4 3 2 4 3 3 3" xfId="9008" xr:uid="{00000000-0005-0000-0000-00000C2B0000}"/>
    <cellStyle name="Normal 4 3 2 4 3 4" xfId="4465" xr:uid="{00000000-0005-0000-0000-00000D2B0000}"/>
    <cellStyle name="Normal 4 3 2 4 3 4 2" xfId="9912" xr:uid="{00000000-0005-0000-0000-00000E2B0000}"/>
    <cellStyle name="Normal 4 3 2 4 3 5" xfId="7254" xr:uid="{00000000-0005-0000-0000-00000F2B0000}"/>
    <cellStyle name="Normal 4 3 2 4 4" xfId="1690" xr:uid="{00000000-0005-0000-0000-0000102B0000}"/>
    <cellStyle name="Normal 4 3 2 4 4 2" xfId="5039" xr:uid="{00000000-0005-0000-0000-0000112B0000}"/>
    <cellStyle name="Normal 4 3 2 4 4 2 2" xfId="10353" xr:uid="{00000000-0005-0000-0000-0000122B0000}"/>
    <cellStyle name="Normal 4 3 2 4 4 3" xfId="7695" xr:uid="{00000000-0005-0000-0000-0000132B0000}"/>
    <cellStyle name="Normal 4 3 2 4 5" xfId="2611" xr:uid="{00000000-0005-0000-0000-0000142B0000}"/>
    <cellStyle name="Normal 4 3 2 4 5 2" xfId="5916" xr:uid="{00000000-0005-0000-0000-0000152B0000}"/>
    <cellStyle name="Normal 4 3 2 4 5 2 2" xfId="11230" xr:uid="{00000000-0005-0000-0000-0000162B0000}"/>
    <cellStyle name="Normal 4 3 2 4 5 3" xfId="8572" xr:uid="{00000000-0005-0000-0000-0000172B0000}"/>
    <cellStyle name="Normal 4 3 2 4 6" xfId="3780" xr:uid="{00000000-0005-0000-0000-0000182B0000}"/>
    <cellStyle name="Normal 4 3 2 4 6 2" xfId="9476" xr:uid="{00000000-0005-0000-0000-0000192B0000}"/>
    <cellStyle name="Normal 4 3 2 4 7" xfId="6818" xr:uid="{00000000-0005-0000-0000-00001A2B0000}"/>
    <cellStyle name="Normal 4 3 2 5" xfId="560" xr:uid="{00000000-0005-0000-0000-00001B2B0000}"/>
    <cellStyle name="Normal 4 3 2 5 2" xfId="1247" xr:uid="{00000000-0005-0000-0000-00001C2B0000}"/>
    <cellStyle name="Normal 4 3 2 5 2 2" xfId="2239" xr:uid="{00000000-0005-0000-0000-00001D2B0000}"/>
    <cellStyle name="Normal 4 3 2 5 2 2 2" xfId="5586" xr:uid="{00000000-0005-0000-0000-00001E2B0000}"/>
    <cellStyle name="Normal 4 3 2 5 2 2 2 2" xfId="10900" xr:uid="{00000000-0005-0000-0000-00001F2B0000}"/>
    <cellStyle name="Normal 4 3 2 5 2 2 3" xfId="8242" xr:uid="{00000000-0005-0000-0000-0000202B0000}"/>
    <cellStyle name="Normal 4 3 2 5 2 3" xfId="3160" xr:uid="{00000000-0005-0000-0000-0000212B0000}"/>
    <cellStyle name="Normal 4 3 2 5 2 3 2" xfId="6463" xr:uid="{00000000-0005-0000-0000-0000222B0000}"/>
    <cellStyle name="Normal 4 3 2 5 2 3 2 2" xfId="11777" xr:uid="{00000000-0005-0000-0000-0000232B0000}"/>
    <cellStyle name="Normal 4 3 2 5 2 3 3" xfId="9119" xr:uid="{00000000-0005-0000-0000-0000242B0000}"/>
    <cellStyle name="Normal 4 3 2 5 2 4" xfId="4639" xr:uid="{00000000-0005-0000-0000-0000252B0000}"/>
    <cellStyle name="Normal 4 3 2 5 2 4 2" xfId="10023" xr:uid="{00000000-0005-0000-0000-0000262B0000}"/>
    <cellStyle name="Normal 4 3 2 5 2 5" xfId="7365" xr:uid="{00000000-0005-0000-0000-0000272B0000}"/>
    <cellStyle name="Normal 4 3 2 5 3" xfId="1801" xr:uid="{00000000-0005-0000-0000-0000282B0000}"/>
    <cellStyle name="Normal 4 3 2 5 3 2" xfId="5150" xr:uid="{00000000-0005-0000-0000-0000292B0000}"/>
    <cellStyle name="Normal 4 3 2 5 3 2 2" xfId="10464" xr:uid="{00000000-0005-0000-0000-00002A2B0000}"/>
    <cellStyle name="Normal 4 3 2 5 3 3" xfId="7806" xr:uid="{00000000-0005-0000-0000-00002B2B0000}"/>
    <cellStyle name="Normal 4 3 2 5 4" xfId="2722" xr:uid="{00000000-0005-0000-0000-00002C2B0000}"/>
    <cellStyle name="Normal 4 3 2 5 4 2" xfId="6027" xr:uid="{00000000-0005-0000-0000-00002D2B0000}"/>
    <cellStyle name="Normal 4 3 2 5 4 2 2" xfId="11341" xr:uid="{00000000-0005-0000-0000-00002E2B0000}"/>
    <cellStyle name="Normal 4 3 2 5 4 3" xfId="8683" xr:uid="{00000000-0005-0000-0000-00002F2B0000}"/>
    <cellStyle name="Normal 4 3 2 5 5" xfId="3954" xr:uid="{00000000-0005-0000-0000-0000302B0000}"/>
    <cellStyle name="Normal 4 3 2 5 5 2" xfId="9587" xr:uid="{00000000-0005-0000-0000-0000312B0000}"/>
    <cellStyle name="Normal 4 3 2 5 6" xfId="6929" xr:uid="{00000000-0005-0000-0000-0000322B0000}"/>
    <cellStyle name="Normal 4 3 2 6" xfId="925" xr:uid="{00000000-0005-0000-0000-0000332B0000}"/>
    <cellStyle name="Normal 4 3 2 6 2" xfId="2039" xr:uid="{00000000-0005-0000-0000-0000342B0000}"/>
    <cellStyle name="Normal 4 3 2 6 2 2" xfId="5386" xr:uid="{00000000-0005-0000-0000-0000352B0000}"/>
    <cellStyle name="Normal 4 3 2 6 2 2 2" xfId="10700" xr:uid="{00000000-0005-0000-0000-0000362B0000}"/>
    <cellStyle name="Normal 4 3 2 6 2 3" xfId="8042" xr:uid="{00000000-0005-0000-0000-0000372B0000}"/>
    <cellStyle name="Normal 4 3 2 6 3" xfId="2960" xr:uid="{00000000-0005-0000-0000-0000382B0000}"/>
    <cellStyle name="Normal 4 3 2 6 3 2" xfId="6263" xr:uid="{00000000-0005-0000-0000-0000392B0000}"/>
    <cellStyle name="Normal 4 3 2 6 3 2 2" xfId="11577" xr:uid="{00000000-0005-0000-0000-00003A2B0000}"/>
    <cellStyle name="Normal 4 3 2 6 3 3" xfId="8919" xr:uid="{00000000-0005-0000-0000-00003B2B0000}"/>
    <cellStyle name="Normal 4 3 2 6 4" xfId="4317" xr:uid="{00000000-0005-0000-0000-00003C2B0000}"/>
    <cellStyle name="Normal 4 3 2 6 4 2" xfId="9823" xr:uid="{00000000-0005-0000-0000-00003D2B0000}"/>
    <cellStyle name="Normal 4 3 2 6 5" xfId="7165" xr:uid="{00000000-0005-0000-0000-00003E2B0000}"/>
    <cellStyle name="Normal 4 3 2 7" xfId="1594" xr:uid="{00000000-0005-0000-0000-00003F2B0000}"/>
    <cellStyle name="Normal 4 3 2 7 2" xfId="4950" xr:uid="{00000000-0005-0000-0000-0000402B0000}"/>
    <cellStyle name="Normal 4 3 2 7 2 2" xfId="10264" xr:uid="{00000000-0005-0000-0000-0000412B0000}"/>
    <cellStyle name="Normal 4 3 2 7 3" xfId="7606" xr:uid="{00000000-0005-0000-0000-0000422B0000}"/>
    <cellStyle name="Normal 4 3 2 8" xfId="2516" xr:uid="{00000000-0005-0000-0000-0000432B0000}"/>
    <cellStyle name="Normal 4 3 2 8 2" xfId="5827" xr:uid="{00000000-0005-0000-0000-0000442B0000}"/>
    <cellStyle name="Normal 4 3 2 8 2 2" xfId="11141" xr:uid="{00000000-0005-0000-0000-0000452B0000}"/>
    <cellStyle name="Normal 4 3 2 8 3" xfId="8483" xr:uid="{00000000-0005-0000-0000-0000462B0000}"/>
    <cellStyle name="Normal 4 3 2 9" xfId="3632" xr:uid="{00000000-0005-0000-0000-0000472B0000}"/>
    <cellStyle name="Normal 4 3 2 9 2" xfId="9387" xr:uid="{00000000-0005-0000-0000-0000482B0000}"/>
    <cellStyle name="Normal 4 3 3" xfId="198" xr:uid="{00000000-0005-0000-0000-0000492B0000}"/>
    <cellStyle name="Normal 4 3 3 2" xfId="397" xr:uid="{00000000-0005-0000-0000-00004A2B0000}"/>
    <cellStyle name="Normal 4 3 3 2 2" xfId="720" xr:uid="{00000000-0005-0000-0000-00004B2B0000}"/>
    <cellStyle name="Normal 4 3 3 2 2 2" xfId="1407" xr:uid="{00000000-0005-0000-0000-00004C2B0000}"/>
    <cellStyle name="Normal 4 3 3 2 2 2 2" xfId="2339" xr:uid="{00000000-0005-0000-0000-00004D2B0000}"/>
    <cellStyle name="Normal 4 3 3 2 2 2 2 2" xfId="5686" xr:uid="{00000000-0005-0000-0000-00004E2B0000}"/>
    <cellStyle name="Normal 4 3 3 2 2 2 2 2 2" xfId="11000" xr:uid="{00000000-0005-0000-0000-00004F2B0000}"/>
    <cellStyle name="Normal 4 3 3 2 2 2 2 3" xfId="8342" xr:uid="{00000000-0005-0000-0000-0000502B0000}"/>
    <cellStyle name="Normal 4 3 3 2 2 2 3" xfId="3260" xr:uid="{00000000-0005-0000-0000-0000512B0000}"/>
    <cellStyle name="Normal 4 3 3 2 2 2 3 2" xfId="6563" xr:uid="{00000000-0005-0000-0000-0000522B0000}"/>
    <cellStyle name="Normal 4 3 3 2 2 2 3 2 2" xfId="11877" xr:uid="{00000000-0005-0000-0000-0000532B0000}"/>
    <cellStyle name="Normal 4 3 3 2 2 2 3 3" xfId="9219" xr:uid="{00000000-0005-0000-0000-0000542B0000}"/>
    <cellStyle name="Normal 4 3 3 2 2 2 4" xfId="4799" xr:uid="{00000000-0005-0000-0000-0000552B0000}"/>
    <cellStyle name="Normal 4 3 3 2 2 2 4 2" xfId="10123" xr:uid="{00000000-0005-0000-0000-0000562B0000}"/>
    <cellStyle name="Normal 4 3 3 2 2 2 5" xfId="7465" xr:uid="{00000000-0005-0000-0000-0000572B0000}"/>
    <cellStyle name="Normal 4 3 3 2 2 3" xfId="1901" xr:uid="{00000000-0005-0000-0000-0000582B0000}"/>
    <cellStyle name="Normal 4 3 3 2 2 3 2" xfId="5250" xr:uid="{00000000-0005-0000-0000-0000592B0000}"/>
    <cellStyle name="Normal 4 3 3 2 2 3 2 2" xfId="10564" xr:uid="{00000000-0005-0000-0000-00005A2B0000}"/>
    <cellStyle name="Normal 4 3 3 2 2 3 3" xfId="7906" xr:uid="{00000000-0005-0000-0000-00005B2B0000}"/>
    <cellStyle name="Normal 4 3 3 2 2 4" xfId="2822" xr:uid="{00000000-0005-0000-0000-00005C2B0000}"/>
    <cellStyle name="Normal 4 3 3 2 2 4 2" xfId="6127" xr:uid="{00000000-0005-0000-0000-00005D2B0000}"/>
    <cellStyle name="Normal 4 3 3 2 2 4 2 2" xfId="11441" xr:uid="{00000000-0005-0000-0000-00005E2B0000}"/>
    <cellStyle name="Normal 4 3 3 2 2 4 3" xfId="8783" xr:uid="{00000000-0005-0000-0000-00005F2B0000}"/>
    <cellStyle name="Normal 4 3 3 2 2 5" xfId="4114" xr:uid="{00000000-0005-0000-0000-0000602B0000}"/>
    <cellStyle name="Normal 4 3 3 2 2 5 2" xfId="9687" xr:uid="{00000000-0005-0000-0000-0000612B0000}"/>
    <cellStyle name="Normal 4 3 3 2 2 6" xfId="7029" xr:uid="{00000000-0005-0000-0000-0000622B0000}"/>
    <cellStyle name="Normal 4 3 3 2 3" xfId="1085" xr:uid="{00000000-0005-0000-0000-0000632B0000}"/>
    <cellStyle name="Normal 4 3 3 2 3 2" xfId="2139" xr:uid="{00000000-0005-0000-0000-0000642B0000}"/>
    <cellStyle name="Normal 4 3 3 2 3 2 2" xfId="5486" xr:uid="{00000000-0005-0000-0000-0000652B0000}"/>
    <cellStyle name="Normal 4 3 3 2 3 2 2 2" xfId="10800" xr:uid="{00000000-0005-0000-0000-0000662B0000}"/>
    <cellStyle name="Normal 4 3 3 2 3 2 3" xfId="8142" xr:uid="{00000000-0005-0000-0000-0000672B0000}"/>
    <cellStyle name="Normal 4 3 3 2 3 3" xfId="3060" xr:uid="{00000000-0005-0000-0000-0000682B0000}"/>
    <cellStyle name="Normal 4 3 3 2 3 3 2" xfId="6363" xr:uid="{00000000-0005-0000-0000-0000692B0000}"/>
    <cellStyle name="Normal 4 3 3 2 3 3 2 2" xfId="11677" xr:uid="{00000000-0005-0000-0000-00006A2B0000}"/>
    <cellStyle name="Normal 4 3 3 2 3 3 3" xfId="9019" xr:uid="{00000000-0005-0000-0000-00006B2B0000}"/>
    <cellStyle name="Normal 4 3 3 2 3 4" xfId="4477" xr:uid="{00000000-0005-0000-0000-00006C2B0000}"/>
    <cellStyle name="Normal 4 3 3 2 3 4 2" xfId="9923" xr:uid="{00000000-0005-0000-0000-00006D2B0000}"/>
    <cellStyle name="Normal 4 3 3 2 3 5" xfId="7265" xr:uid="{00000000-0005-0000-0000-00006E2B0000}"/>
    <cellStyle name="Normal 4 3 3 2 4" xfId="1701" xr:uid="{00000000-0005-0000-0000-00006F2B0000}"/>
    <cellStyle name="Normal 4 3 3 2 4 2" xfId="5050" xr:uid="{00000000-0005-0000-0000-0000702B0000}"/>
    <cellStyle name="Normal 4 3 3 2 4 2 2" xfId="10364" xr:uid="{00000000-0005-0000-0000-0000712B0000}"/>
    <cellStyle name="Normal 4 3 3 2 4 3" xfId="7706" xr:uid="{00000000-0005-0000-0000-0000722B0000}"/>
    <cellStyle name="Normal 4 3 3 2 5" xfId="2622" xr:uid="{00000000-0005-0000-0000-0000732B0000}"/>
    <cellStyle name="Normal 4 3 3 2 5 2" xfId="5927" xr:uid="{00000000-0005-0000-0000-0000742B0000}"/>
    <cellStyle name="Normal 4 3 3 2 5 2 2" xfId="11241" xr:uid="{00000000-0005-0000-0000-0000752B0000}"/>
    <cellStyle name="Normal 4 3 3 2 5 3" xfId="8583" xr:uid="{00000000-0005-0000-0000-0000762B0000}"/>
    <cellStyle name="Normal 4 3 3 2 6" xfId="3792" xr:uid="{00000000-0005-0000-0000-0000772B0000}"/>
    <cellStyle name="Normal 4 3 3 2 6 2" xfId="9487" xr:uid="{00000000-0005-0000-0000-0000782B0000}"/>
    <cellStyle name="Normal 4 3 3 2 7" xfId="6829" xr:uid="{00000000-0005-0000-0000-0000792B0000}"/>
    <cellStyle name="Normal 4 3 3 3" xfId="571" xr:uid="{00000000-0005-0000-0000-00007A2B0000}"/>
    <cellStyle name="Normal 4 3 3 3 2" xfId="1258" xr:uid="{00000000-0005-0000-0000-00007B2B0000}"/>
    <cellStyle name="Normal 4 3 3 3 2 2" xfId="2250" xr:uid="{00000000-0005-0000-0000-00007C2B0000}"/>
    <cellStyle name="Normal 4 3 3 3 2 2 2" xfId="5597" xr:uid="{00000000-0005-0000-0000-00007D2B0000}"/>
    <cellStyle name="Normal 4 3 3 3 2 2 2 2" xfId="10911" xr:uid="{00000000-0005-0000-0000-00007E2B0000}"/>
    <cellStyle name="Normal 4 3 3 3 2 2 3" xfId="8253" xr:uid="{00000000-0005-0000-0000-00007F2B0000}"/>
    <cellStyle name="Normal 4 3 3 3 2 3" xfId="3171" xr:uid="{00000000-0005-0000-0000-0000802B0000}"/>
    <cellStyle name="Normal 4 3 3 3 2 3 2" xfId="6474" xr:uid="{00000000-0005-0000-0000-0000812B0000}"/>
    <cellStyle name="Normal 4 3 3 3 2 3 2 2" xfId="11788" xr:uid="{00000000-0005-0000-0000-0000822B0000}"/>
    <cellStyle name="Normal 4 3 3 3 2 3 3" xfId="9130" xr:uid="{00000000-0005-0000-0000-0000832B0000}"/>
    <cellStyle name="Normal 4 3 3 3 2 4" xfId="4650" xr:uid="{00000000-0005-0000-0000-0000842B0000}"/>
    <cellStyle name="Normal 4 3 3 3 2 4 2" xfId="10034" xr:uid="{00000000-0005-0000-0000-0000852B0000}"/>
    <cellStyle name="Normal 4 3 3 3 2 5" xfId="7376" xr:uid="{00000000-0005-0000-0000-0000862B0000}"/>
    <cellStyle name="Normal 4 3 3 3 3" xfId="1812" xr:uid="{00000000-0005-0000-0000-0000872B0000}"/>
    <cellStyle name="Normal 4 3 3 3 3 2" xfId="5161" xr:uid="{00000000-0005-0000-0000-0000882B0000}"/>
    <cellStyle name="Normal 4 3 3 3 3 2 2" xfId="10475" xr:uid="{00000000-0005-0000-0000-0000892B0000}"/>
    <cellStyle name="Normal 4 3 3 3 3 3" xfId="7817" xr:uid="{00000000-0005-0000-0000-00008A2B0000}"/>
    <cellStyle name="Normal 4 3 3 3 4" xfId="2733" xr:uid="{00000000-0005-0000-0000-00008B2B0000}"/>
    <cellStyle name="Normal 4 3 3 3 4 2" xfId="6038" xr:uid="{00000000-0005-0000-0000-00008C2B0000}"/>
    <cellStyle name="Normal 4 3 3 3 4 2 2" xfId="11352" xr:uid="{00000000-0005-0000-0000-00008D2B0000}"/>
    <cellStyle name="Normal 4 3 3 3 4 3" xfId="8694" xr:uid="{00000000-0005-0000-0000-00008E2B0000}"/>
    <cellStyle name="Normal 4 3 3 3 5" xfId="3965" xr:uid="{00000000-0005-0000-0000-00008F2B0000}"/>
    <cellStyle name="Normal 4 3 3 3 5 2" xfId="9598" xr:uid="{00000000-0005-0000-0000-0000902B0000}"/>
    <cellStyle name="Normal 4 3 3 3 6" xfId="6940" xr:uid="{00000000-0005-0000-0000-0000912B0000}"/>
    <cellStyle name="Normal 4 3 3 4" xfId="936" xr:uid="{00000000-0005-0000-0000-0000922B0000}"/>
    <cellStyle name="Normal 4 3 3 4 2" xfId="2050" xr:uid="{00000000-0005-0000-0000-0000932B0000}"/>
    <cellStyle name="Normal 4 3 3 4 2 2" xfId="5397" xr:uid="{00000000-0005-0000-0000-0000942B0000}"/>
    <cellStyle name="Normal 4 3 3 4 2 2 2" xfId="10711" xr:uid="{00000000-0005-0000-0000-0000952B0000}"/>
    <cellStyle name="Normal 4 3 3 4 2 3" xfId="8053" xr:uid="{00000000-0005-0000-0000-0000962B0000}"/>
    <cellStyle name="Normal 4 3 3 4 3" xfId="2971" xr:uid="{00000000-0005-0000-0000-0000972B0000}"/>
    <cellStyle name="Normal 4 3 3 4 3 2" xfId="6274" xr:uid="{00000000-0005-0000-0000-0000982B0000}"/>
    <cellStyle name="Normal 4 3 3 4 3 2 2" xfId="11588" xr:uid="{00000000-0005-0000-0000-0000992B0000}"/>
    <cellStyle name="Normal 4 3 3 4 3 3" xfId="8930" xr:uid="{00000000-0005-0000-0000-00009A2B0000}"/>
    <cellStyle name="Normal 4 3 3 4 4" xfId="4328" xr:uid="{00000000-0005-0000-0000-00009B2B0000}"/>
    <cellStyle name="Normal 4 3 3 4 4 2" xfId="9834" xr:uid="{00000000-0005-0000-0000-00009C2B0000}"/>
    <cellStyle name="Normal 4 3 3 4 5" xfId="7176" xr:uid="{00000000-0005-0000-0000-00009D2B0000}"/>
    <cellStyle name="Normal 4 3 3 5" xfId="1607" xr:uid="{00000000-0005-0000-0000-00009E2B0000}"/>
    <cellStyle name="Normal 4 3 3 5 2" xfId="4961" xr:uid="{00000000-0005-0000-0000-00009F2B0000}"/>
    <cellStyle name="Normal 4 3 3 5 2 2" xfId="10275" xr:uid="{00000000-0005-0000-0000-0000A02B0000}"/>
    <cellStyle name="Normal 4 3 3 5 3" xfId="7617" xr:uid="{00000000-0005-0000-0000-0000A12B0000}"/>
    <cellStyle name="Normal 4 3 3 6" xfId="2528" xr:uid="{00000000-0005-0000-0000-0000A22B0000}"/>
    <cellStyle name="Normal 4 3 3 6 2" xfId="5838" xr:uid="{00000000-0005-0000-0000-0000A32B0000}"/>
    <cellStyle name="Normal 4 3 3 6 2 2" xfId="11152" xr:uid="{00000000-0005-0000-0000-0000A42B0000}"/>
    <cellStyle name="Normal 4 3 3 6 3" xfId="8494" xr:uid="{00000000-0005-0000-0000-0000A52B0000}"/>
    <cellStyle name="Normal 4 3 3 7" xfId="3643" xr:uid="{00000000-0005-0000-0000-0000A62B0000}"/>
    <cellStyle name="Normal 4 3 3 7 2" xfId="9398" xr:uid="{00000000-0005-0000-0000-0000A72B0000}"/>
    <cellStyle name="Normal 4 3 3 8" xfId="6735" xr:uid="{00000000-0005-0000-0000-0000A82B0000}"/>
    <cellStyle name="Normal 4 3 4" xfId="227" xr:uid="{00000000-0005-0000-0000-0000A92B0000}"/>
    <cellStyle name="Normal 4 3 4 2" xfId="236" xr:uid="{00000000-0005-0000-0000-0000AA2B0000}"/>
    <cellStyle name="Normal 4 3 4 2 2" xfId="431" xr:uid="{00000000-0005-0000-0000-0000AB2B0000}"/>
    <cellStyle name="Normal 4 3 4 2 2 2" xfId="754" xr:uid="{00000000-0005-0000-0000-0000AC2B0000}"/>
    <cellStyle name="Normal 4 3 4 2 2 2 2" xfId="1441" xr:uid="{00000000-0005-0000-0000-0000AD2B0000}"/>
    <cellStyle name="Normal 4 3 4 2 2 2 2 2" xfId="2373" xr:uid="{00000000-0005-0000-0000-0000AE2B0000}"/>
    <cellStyle name="Normal 4 3 4 2 2 2 2 2 2" xfId="5720" xr:uid="{00000000-0005-0000-0000-0000AF2B0000}"/>
    <cellStyle name="Normal 4 3 4 2 2 2 2 2 2 2" xfId="11034" xr:uid="{00000000-0005-0000-0000-0000B02B0000}"/>
    <cellStyle name="Normal 4 3 4 2 2 2 2 2 3" xfId="8376" xr:uid="{00000000-0005-0000-0000-0000B12B0000}"/>
    <cellStyle name="Normal 4 3 4 2 2 2 2 3" xfId="3294" xr:uid="{00000000-0005-0000-0000-0000B22B0000}"/>
    <cellStyle name="Normal 4 3 4 2 2 2 2 3 2" xfId="6597" xr:uid="{00000000-0005-0000-0000-0000B32B0000}"/>
    <cellStyle name="Normal 4 3 4 2 2 2 2 3 2 2" xfId="11911" xr:uid="{00000000-0005-0000-0000-0000B42B0000}"/>
    <cellStyle name="Normal 4 3 4 2 2 2 2 3 3" xfId="9253" xr:uid="{00000000-0005-0000-0000-0000B52B0000}"/>
    <cellStyle name="Normal 4 3 4 2 2 2 2 4" xfId="4833" xr:uid="{00000000-0005-0000-0000-0000B62B0000}"/>
    <cellStyle name="Normal 4 3 4 2 2 2 2 4 2" xfId="10157" xr:uid="{00000000-0005-0000-0000-0000B72B0000}"/>
    <cellStyle name="Normal 4 3 4 2 2 2 2 5" xfId="7499" xr:uid="{00000000-0005-0000-0000-0000B82B0000}"/>
    <cellStyle name="Normal 4 3 4 2 2 2 3" xfId="1935" xr:uid="{00000000-0005-0000-0000-0000B92B0000}"/>
    <cellStyle name="Normal 4 3 4 2 2 2 3 2" xfId="5284" xr:uid="{00000000-0005-0000-0000-0000BA2B0000}"/>
    <cellStyle name="Normal 4 3 4 2 2 2 3 2 2" xfId="10598" xr:uid="{00000000-0005-0000-0000-0000BB2B0000}"/>
    <cellStyle name="Normal 4 3 4 2 2 2 3 3" xfId="7940" xr:uid="{00000000-0005-0000-0000-0000BC2B0000}"/>
    <cellStyle name="Normal 4 3 4 2 2 2 4" xfId="2856" xr:uid="{00000000-0005-0000-0000-0000BD2B0000}"/>
    <cellStyle name="Normal 4 3 4 2 2 2 4 2" xfId="6161" xr:uid="{00000000-0005-0000-0000-0000BE2B0000}"/>
    <cellStyle name="Normal 4 3 4 2 2 2 4 2 2" xfId="11475" xr:uid="{00000000-0005-0000-0000-0000BF2B0000}"/>
    <cellStyle name="Normal 4 3 4 2 2 2 4 3" xfId="8817" xr:uid="{00000000-0005-0000-0000-0000C02B0000}"/>
    <cellStyle name="Normal 4 3 4 2 2 2 5" xfId="4148" xr:uid="{00000000-0005-0000-0000-0000C12B0000}"/>
    <cellStyle name="Normal 4 3 4 2 2 2 5 2" xfId="9721" xr:uid="{00000000-0005-0000-0000-0000C22B0000}"/>
    <cellStyle name="Normal 4 3 4 2 2 2 6" xfId="7063" xr:uid="{00000000-0005-0000-0000-0000C32B0000}"/>
    <cellStyle name="Normal 4 3 4 2 2 3" xfId="1119" xr:uid="{00000000-0005-0000-0000-0000C42B0000}"/>
    <cellStyle name="Normal 4 3 4 2 2 3 2" xfId="2173" xr:uid="{00000000-0005-0000-0000-0000C52B0000}"/>
    <cellStyle name="Normal 4 3 4 2 2 3 2 2" xfId="5520" xr:uid="{00000000-0005-0000-0000-0000C62B0000}"/>
    <cellStyle name="Normal 4 3 4 2 2 3 2 2 2" xfId="10834" xr:uid="{00000000-0005-0000-0000-0000C72B0000}"/>
    <cellStyle name="Normal 4 3 4 2 2 3 2 3" xfId="8176" xr:uid="{00000000-0005-0000-0000-0000C82B0000}"/>
    <cellStyle name="Normal 4 3 4 2 2 3 3" xfId="3094" xr:uid="{00000000-0005-0000-0000-0000C92B0000}"/>
    <cellStyle name="Normal 4 3 4 2 2 3 3 2" xfId="6397" xr:uid="{00000000-0005-0000-0000-0000CA2B0000}"/>
    <cellStyle name="Normal 4 3 4 2 2 3 3 2 2" xfId="11711" xr:uid="{00000000-0005-0000-0000-0000CB2B0000}"/>
    <cellStyle name="Normal 4 3 4 2 2 3 3 3" xfId="9053" xr:uid="{00000000-0005-0000-0000-0000CC2B0000}"/>
    <cellStyle name="Normal 4 3 4 2 2 3 4" xfId="4511" xr:uid="{00000000-0005-0000-0000-0000CD2B0000}"/>
    <cellStyle name="Normal 4 3 4 2 2 3 4 2" xfId="9957" xr:uid="{00000000-0005-0000-0000-0000CE2B0000}"/>
    <cellStyle name="Normal 4 3 4 2 2 3 5" xfId="7299" xr:uid="{00000000-0005-0000-0000-0000CF2B0000}"/>
    <cellStyle name="Normal 4 3 4 2 2 4" xfId="1735" xr:uid="{00000000-0005-0000-0000-0000D02B0000}"/>
    <cellStyle name="Normal 4 3 4 2 2 4 2" xfId="5084" xr:uid="{00000000-0005-0000-0000-0000D12B0000}"/>
    <cellStyle name="Normal 4 3 4 2 2 4 2 2" xfId="10398" xr:uid="{00000000-0005-0000-0000-0000D22B0000}"/>
    <cellStyle name="Normal 4 3 4 2 2 4 3" xfId="7740" xr:uid="{00000000-0005-0000-0000-0000D32B0000}"/>
    <cellStyle name="Normal 4 3 4 2 2 5" xfId="2656" xr:uid="{00000000-0005-0000-0000-0000D42B0000}"/>
    <cellStyle name="Normal 4 3 4 2 2 5 2" xfId="5961" xr:uid="{00000000-0005-0000-0000-0000D52B0000}"/>
    <cellStyle name="Normal 4 3 4 2 2 5 2 2" xfId="11275" xr:uid="{00000000-0005-0000-0000-0000D62B0000}"/>
    <cellStyle name="Normal 4 3 4 2 2 5 3" xfId="8617" xr:uid="{00000000-0005-0000-0000-0000D72B0000}"/>
    <cellStyle name="Normal 4 3 4 2 2 6" xfId="3826" xr:uid="{00000000-0005-0000-0000-0000D82B0000}"/>
    <cellStyle name="Normal 4 3 4 2 2 6 2" xfId="9521" xr:uid="{00000000-0005-0000-0000-0000D92B0000}"/>
    <cellStyle name="Normal 4 3 4 2 2 7" xfId="6863" xr:uid="{00000000-0005-0000-0000-0000DA2B0000}"/>
    <cellStyle name="Normal 4 3 4 2 3" xfId="605" xr:uid="{00000000-0005-0000-0000-0000DB2B0000}"/>
    <cellStyle name="Normal 4 3 4 2 3 2" xfId="1292" xr:uid="{00000000-0005-0000-0000-0000DC2B0000}"/>
    <cellStyle name="Normal 4 3 4 2 3 2 2" xfId="2284" xr:uid="{00000000-0005-0000-0000-0000DD2B0000}"/>
    <cellStyle name="Normal 4 3 4 2 3 2 2 2" xfId="5631" xr:uid="{00000000-0005-0000-0000-0000DE2B0000}"/>
    <cellStyle name="Normal 4 3 4 2 3 2 2 2 2" xfId="10945" xr:uid="{00000000-0005-0000-0000-0000DF2B0000}"/>
    <cellStyle name="Normal 4 3 4 2 3 2 2 3" xfId="8287" xr:uid="{00000000-0005-0000-0000-0000E02B0000}"/>
    <cellStyle name="Normal 4 3 4 2 3 2 3" xfId="3205" xr:uid="{00000000-0005-0000-0000-0000E12B0000}"/>
    <cellStyle name="Normal 4 3 4 2 3 2 3 2" xfId="6508" xr:uid="{00000000-0005-0000-0000-0000E22B0000}"/>
    <cellStyle name="Normal 4 3 4 2 3 2 3 2 2" xfId="11822" xr:uid="{00000000-0005-0000-0000-0000E32B0000}"/>
    <cellStyle name="Normal 4 3 4 2 3 2 3 3" xfId="9164" xr:uid="{00000000-0005-0000-0000-0000E42B0000}"/>
    <cellStyle name="Normal 4 3 4 2 3 2 4" xfId="4684" xr:uid="{00000000-0005-0000-0000-0000E52B0000}"/>
    <cellStyle name="Normal 4 3 4 2 3 2 4 2" xfId="10068" xr:uid="{00000000-0005-0000-0000-0000E62B0000}"/>
    <cellStyle name="Normal 4 3 4 2 3 2 5" xfId="7410" xr:uid="{00000000-0005-0000-0000-0000E72B0000}"/>
    <cellStyle name="Normal 4 3 4 2 3 3" xfId="1846" xr:uid="{00000000-0005-0000-0000-0000E82B0000}"/>
    <cellStyle name="Normal 4 3 4 2 3 3 2" xfId="5195" xr:uid="{00000000-0005-0000-0000-0000E92B0000}"/>
    <cellStyle name="Normal 4 3 4 2 3 3 2 2" xfId="10509" xr:uid="{00000000-0005-0000-0000-0000EA2B0000}"/>
    <cellStyle name="Normal 4 3 4 2 3 3 3" xfId="7851" xr:uid="{00000000-0005-0000-0000-0000EB2B0000}"/>
    <cellStyle name="Normal 4 3 4 2 3 4" xfId="2767" xr:uid="{00000000-0005-0000-0000-0000EC2B0000}"/>
    <cellStyle name="Normal 4 3 4 2 3 4 2" xfId="6072" xr:uid="{00000000-0005-0000-0000-0000ED2B0000}"/>
    <cellStyle name="Normal 4 3 4 2 3 4 2 2" xfId="11386" xr:uid="{00000000-0005-0000-0000-0000EE2B0000}"/>
    <cellStyle name="Normal 4 3 4 2 3 4 3" xfId="8728" xr:uid="{00000000-0005-0000-0000-0000EF2B0000}"/>
    <cellStyle name="Normal 4 3 4 2 3 5" xfId="3999" xr:uid="{00000000-0005-0000-0000-0000F02B0000}"/>
    <cellStyle name="Normal 4 3 4 2 3 5 2" xfId="9632" xr:uid="{00000000-0005-0000-0000-0000F12B0000}"/>
    <cellStyle name="Normal 4 3 4 2 3 6" xfId="6974" xr:uid="{00000000-0005-0000-0000-0000F22B0000}"/>
    <cellStyle name="Normal 4 3 4 2 4" xfId="970" xr:uid="{00000000-0005-0000-0000-0000F32B0000}"/>
    <cellStyle name="Normal 4 3 4 2 4 2" xfId="2084" xr:uid="{00000000-0005-0000-0000-0000F42B0000}"/>
    <cellStyle name="Normal 4 3 4 2 4 2 2" xfId="5431" xr:uid="{00000000-0005-0000-0000-0000F52B0000}"/>
    <cellStyle name="Normal 4 3 4 2 4 2 2 2" xfId="10745" xr:uid="{00000000-0005-0000-0000-0000F62B0000}"/>
    <cellStyle name="Normal 4 3 4 2 4 2 3" xfId="8087" xr:uid="{00000000-0005-0000-0000-0000F72B0000}"/>
    <cellStyle name="Normal 4 3 4 2 4 3" xfId="3005" xr:uid="{00000000-0005-0000-0000-0000F82B0000}"/>
    <cellStyle name="Normal 4 3 4 2 4 3 2" xfId="6308" xr:uid="{00000000-0005-0000-0000-0000F92B0000}"/>
    <cellStyle name="Normal 4 3 4 2 4 3 2 2" xfId="11622" xr:uid="{00000000-0005-0000-0000-0000FA2B0000}"/>
    <cellStyle name="Normal 4 3 4 2 4 3 3" xfId="8964" xr:uid="{00000000-0005-0000-0000-0000FB2B0000}"/>
    <cellStyle name="Normal 4 3 4 2 4 4" xfId="4362" xr:uid="{00000000-0005-0000-0000-0000FC2B0000}"/>
    <cellStyle name="Normal 4 3 4 2 4 4 2" xfId="9868" xr:uid="{00000000-0005-0000-0000-0000FD2B0000}"/>
    <cellStyle name="Normal 4 3 4 2 4 5" xfId="7210" xr:uid="{00000000-0005-0000-0000-0000FE2B0000}"/>
    <cellStyle name="Normal 4 3 4 2 5" xfId="1645" xr:uid="{00000000-0005-0000-0000-0000FF2B0000}"/>
    <cellStyle name="Normal 4 3 4 2 5 2" xfId="4995" xr:uid="{00000000-0005-0000-0000-0000002C0000}"/>
    <cellStyle name="Normal 4 3 4 2 5 2 2" xfId="10309" xr:uid="{00000000-0005-0000-0000-0000012C0000}"/>
    <cellStyle name="Normal 4 3 4 2 5 3" xfId="7651" xr:uid="{00000000-0005-0000-0000-0000022C0000}"/>
    <cellStyle name="Normal 4 3 4 2 6" xfId="2566" xr:uid="{00000000-0005-0000-0000-0000032C0000}"/>
    <cellStyle name="Normal 4 3 4 2 6 2" xfId="5872" xr:uid="{00000000-0005-0000-0000-0000042C0000}"/>
    <cellStyle name="Normal 4 3 4 2 6 2 2" xfId="11186" xr:uid="{00000000-0005-0000-0000-0000052C0000}"/>
    <cellStyle name="Normal 4 3 4 2 6 3" xfId="8528" xr:uid="{00000000-0005-0000-0000-0000062C0000}"/>
    <cellStyle name="Normal 4 3 4 2 7" xfId="3677" xr:uid="{00000000-0005-0000-0000-0000072C0000}"/>
    <cellStyle name="Normal 4 3 4 2 7 2" xfId="9432" xr:uid="{00000000-0005-0000-0000-0000082C0000}"/>
    <cellStyle name="Normal 4 3 4 2 8" xfId="6769" xr:uid="{00000000-0005-0000-0000-0000092C0000}"/>
    <cellStyle name="Normal 4 3 4 3" xfId="422" xr:uid="{00000000-0005-0000-0000-00000A2C0000}"/>
    <cellStyle name="Normal 4 3 4 3 2" xfId="745" xr:uid="{00000000-0005-0000-0000-00000B2C0000}"/>
    <cellStyle name="Normal 4 3 4 3 2 2" xfId="1432" xr:uid="{00000000-0005-0000-0000-00000C2C0000}"/>
    <cellStyle name="Normal 4 3 4 3 2 2 2" xfId="2364" xr:uid="{00000000-0005-0000-0000-00000D2C0000}"/>
    <cellStyle name="Normal 4 3 4 3 2 2 2 2" xfId="5711" xr:uid="{00000000-0005-0000-0000-00000E2C0000}"/>
    <cellStyle name="Normal 4 3 4 3 2 2 2 2 2" xfId="11025" xr:uid="{00000000-0005-0000-0000-00000F2C0000}"/>
    <cellStyle name="Normal 4 3 4 3 2 2 2 3" xfId="8367" xr:uid="{00000000-0005-0000-0000-0000102C0000}"/>
    <cellStyle name="Normal 4 3 4 3 2 2 3" xfId="3285" xr:uid="{00000000-0005-0000-0000-0000112C0000}"/>
    <cellStyle name="Normal 4 3 4 3 2 2 3 2" xfId="6588" xr:uid="{00000000-0005-0000-0000-0000122C0000}"/>
    <cellStyle name="Normal 4 3 4 3 2 2 3 2 2" xfId="11902" xr:uid="{00000000-0005-0000-0000-0000132C0000}"/>
    <cellStyle name="Normal 4 3 4 3 2 2 3 3" xfId="9244" xr:uid="{00000000-0005-0000-0000-0000142C0000}"/>
    <cellStyle name="Normal 4 3 4 3 2 2 4" xfId="4824" xr:uid="{00000000-0005-0000-0000-0000152C0000}"/>
    <cellStyle name="Normal 4 3 4 3 2 2 4 2" xfId="10148" xr:uid="{00000000-0005-0000-0000-0000162C0000}"/>
    <cellStyle name="Normal 4 3 4 3 2 2 5" xfId="7490" xr:uid="{00000000-0005-0000-0000-0000172C0000}"/>
    <cellStyle name="Normal 4 3 4 3 2 3" xfId="1926" xr:uid="{00000000-0005-0000-0000-0000182C0000}"/>
    <cellStyle name="Normal 4 3 4 3 2 3 2" xfId="5275" xr:uid="{00000000-0005-0000-0000-0000192C0000}"/>
    <cellStyle name="Normal 4 3 4 3 2 3 2 2" xfId="10589" xr:uid="{00000000-0005-0000-0000-00001A2C0000}"/>
    <cellStyle name="Normal 4 3 4 3 2 3 3" xfId="7931" xr:uid="{00000000-0005-0000-0000-00001B2C0000}"/>
    <cellStyle name="Normal 4 3 4 3 2 4" xfId="2847" xr:uid="{00000000-0005-0000-0000-00001C2C0000}"/>
    <cellStyle name="Normal 4 3 4 3 2 4 2" xfId="6152" xr:uid="{00000000-0005-0000-0000-00001D2C0000}"/>
    <cellStyle name="Normal 4 3 4 3 2 4 2 2" xfId="11466" xr:uid="{00000000-0005-0000-0000-00001E2C0000}"/>
    <cellStyle name="Normal 4 3 4 3 2 4 3" xfId="8808" xr:uid="{00000000-0005-0000-0000-00001F2C0000}"/>
    <cellStyle name="Normal 4 3 4 3 2 5" xfId="4139" xr:uid="{00000000-0005-0000-0000-0000202C0000}"/>
    <cellStyle name="Normal 4 3 4 3 2 5 2" xfId="9712" xr:uid="{00000000-0005-0000-0000-0000212C0000}"/>
    <cellStyle name="Normal 4 3 4 3 2 6" xfId="7054" xr:uid="{00000000-0005-0000-0000-0000222C0000}"/>
    <cellStyle name="Normal 4 3 4 3 3" xfId="1110" xr:uid="{00000000-0005-0000-0000-0000232C0000}"/>
    <cellStyle name="Normal 4 3 4 3 3 2" xfId="2164" xr:uid="{00000000-0005-0000-0000-0000242C0000}"/>
    <cellStyle name="Normal 4 3 4 3 3 2 2" xfId="5511" xr:uid="{00000000-0005-0000-0000-0000252C0000}"/>
    <cellStyle name="Normal 4 3 4 3 3 2 2 2" xfId="10825" xr:uid="{00000000-0005-0000-0000-0000262C0000}"/>
    <cellStyle name="Normal 4 3 4 3 3 2 3" xfId="8167" xr:uid="{00000000-0005-0000-0000-0000272C0000}"/>
    <cellStyle name="Normal 4 3 4 3 3 3" xfId="3085" xr:uid="{00000000-0005-0000-0000-0000282C0000}"/>
    <cellStyle name="Normal 4 3 4 3 3 3 2" xfId="6388" xr:uid="{00000000-0005-0000-0000-0000292C0000}"/>
    <cellStyle name="Normal 4 3 4 3 3 3 2 2" xfId="11702" xr:uid="{00000000-0005-0000-0000-00002A2C0000}"/>
    <cellStyle name="Normal 4 3 4 3 3 3 3" xfId="9044" xr:uid="{00000000-0005-0000-0000-00002B2C0000}"/>
    <cellStyle name="Normal 4 3 4 3 3 4" xfId="4502" xr:uid="{00000000-0005-0000-0000-00002C2C0000}"/>
    <cellStyle name="Normal 4 3 4 3 3 4 2" xfId="9948" xr:uid="{00000000-0005-0000-0000-00002D2C0000}"/>
    <cellStyle name="Normal 4 3 4 3 3 5" xfId="7290" xr:uid="{00000000-0005-0000-0000-00002E2C0000}"/>
    <cellStyle name="Normal 4 3 4 3 4" xfId="1726" xr:uid="{00000000-0005-0000-0000-00002F2C0000}"/>
    <cellStyle name="Normal 4 3 4 3 4 2" xfId="5075" xr:uid="{00000000-0005-0000-0000-0000302C0000}"/>
    <cellStyle name="Normal 4 3 4 3 4 2 2" xfId="10389" xr:uid="{00000000-0005-0000-0000-0000312C0000}"/>
    <cellStyle name="Normal 4 3 4 3 4 3" xfId="7731" xr:uid="{00000000-0005-0000-0000-0000322C0000}"/>
    <cellStyle name="Normal 4 3 4 3 5" xfId="2647" xr:uid="{00000000-0005-0000-0000-0000332C0000}"/>
    <cellStyle name="Normal 4 3 4 3 5 2" xfId="5952" xr:uid="{00000000-0005-0000-0000-0000342C0000}"/>
    <cellStyle name="Normal 4 3 4 3 5 2 2" xfId="11266" xr:uid="{00000000-0005-0000-0000-0000352C0000}"/>
    <cellStyle name="Normal 4 3 4 3 5 3" xfId="8608" xr:uid="{00000000-0005-0000-0000-0000362C0000}"/>
    <cellStyle name="Normal 4 3 4 3 6" xfId="3817" xr:uid="{00000000-0005-0000-0000-0000372C0000}"/>
    <cellStyle name="Normal 4 3 4 3 6 2" xfId="9512" xr:uid="{00000000-0005-0000-0000-0000382C0000}"/>
    <cellStyle name="Normal 4 3 4 3 7" xfId="6854" xr:uid="{00000000-0005-0000-0000-0000392C0000}"/>
    <cellStyle name="Normal 4 3 4 4" xfId="596" xr:uid="{00000000-0005-0000-0000-00003A2C0000}"/>
    <cellStyle name="Normal 4 3 4 4 2" xfId="1283" xr:uid="{00000000-0005-0000-0000-00003B2C0000}"/>
    <cellStyle name="Normal 4 3 4 4 2 2" xfId="2275" xr:uid="{00000000-0005-0000-0000-00003C2C0000}"/>
    <cellStyle name="Normal 4 3 4 4 2 2 2" xfId="5622" xr:uid="{00000000-0005-0000-0000-00003D2C0000}"/>
    <cellStyle name="Normal 4 3 4 4 2 2 2 2" xfId="10936" xr:uid="{00000000-0005-0000-0000-00003E2C0000}"/>
    <cellStyle name="Normal 4 3 4 4 2 2 3" xfId="8278" xr:uid="{00000000-0005-0000-0000-00003F2C0000}"/>
    <cellStyle name="Normal 4 3 4 4 2 3" xfId="3196" xr:uid="{00000000-0005-0000-0000-0000402C0000}"/>
    <cellStyle name="Normal 4 3 4 4 2 3 2" xfId="6499" xr:uid="{00000000-0005-0000-0000-0000412C0000}"/>
    <cellStyle name="Normal 4 3 4 4 2 3 2 2" xfId="11813" xr:uid="{00000000-0005-0000-0000-0000422C0000}"/>
    <cellStyle name="Normal 4 3 4 4 2 3 3" xfId="9155" xr:uid="{00000000-0005-0000-0000-0000432C0000}"/>
    <cellStyle name="Normal 4 3 4 4 2 4" xfId="4675" xr:uid="{00000000-0005-0000-0000-0000442C0000}"/>
    <cellStyle name="Normal 4 3 4 4 2 4 2" xfId="10059" xr:uid="{00000000-0005-0000-0000-0000452C0000}"/>
    <cellStyle name="Normal 4 3 4 4 2 5" xfId="7401" xr:uid="{00000000-0005-0000-0000-0000462C0000}"/>
    <cellStyle name="Normal 4 3 4 4 3" xfId="1837" xr:uid="{00000000-0005-0000-0000-0000472C0000}"/>
    <cellStyle name="Normal 4 3 4 4 3 2" xfId="5186" xr:uid="{00000000-0005-0000-0000-0000482C0000}"/>
    <cellStyle name="Normal 4 3 4 4 3 2 2" xfId="10500" xr:uid="{00000000-0005-0000-0000-0000492C0000}"/>
    <cellStyle name="Normal 4 3 4 4 3 3" xfId="7842" xr:uid="{00000000-0005-0000-0000-00004A2C0000}"/>
    <cellStyle name="Normal 4 3 4 4 4" xfId="2758" xr:uid="{00000000-0005-0000-0000-00004B2C0000}"/>
    <cellStyle name="Normal 4 3 4 4 4 2" xfId="6063" xr:uid="{00000000-0005-0000-0000-00004C2C0000}"/>
    <cellStyle name="Normal 4 3 4 4 4 2 2" xfId="11377" xr:uid="{00000000-0005-0000-0000-00004D2C0000}"/>
    <cellStyle name="Normal 4 3 4 4 4 3" xfId="8719" xr:uid="{00000000-0005-0000-0000-00004E2C0000}"/>
    <cellStyle name="Normal 4 3 4 4 5" xfId="3990" xr:uid="{00000000-0005-0000-0000-00004F2C0000}"/>
    <cellStyle name="Normal 4 3 4 4 5 2" xfId="9623" xr:uid="{00000000-0005-0000-0000-0000502C0000}"/>
    <cellStyle name="Normal 4 3 4 4 6" xfId="6965" xr:uid="{00000000-0005-0000-0000-0000512C0000}"/>
    <cellStyle name="Normal 4 3 4 5" xfId="961" xr:uid="{00000000-0005-0000-0000-0000522C0000}"/>
    <cellStyle name="Normal 4 3 4 5 2" xfId="2075" xr:uid="{00000000-0005-0000-0000-0000532C0000}"/>
    <cellStyle name="Normal 4 3 4 5 2 2" xfId="5422" xr:uid="{00000000-0005-0000-0000-0000542C0000}"/>
    <cellStyle name="Normal 4 3 4 5 2 2 2" xfId="10736" xr:uid="{00000000-0005-0000-0000-0000552C0000}"/>
    <cellStyle name="Normal 4 3 4 5 2 3" xfId="8078" xr:uid="{00000000-0005-0000-0000-0000562C0000}"/>
    <cellStyle name="Normal 4 3 4 5 3" xfId="2996" xr:uid="{00000000-0005-0000-0000-0000572C0000}"/>
    <cellStyle name="Normal 4 3 4 5 3 2" xfId="6299" xr:uid="{00000000-0005-0000-0000-0000582C0000}"/>
    <cellStyle name="Normal 4 3 4 5 3 2 2" xfId="11613" xr:uid="{00000000-0005-0000-0000-0000592C0000}"/>
    <cellStyle name="Normal 4 3 4 5 3 3" xfId="8955" xr:uid="{00000000-0005-0000-0000-00005A2C0000}"/>
    <cellStyle name="Normal 4 3 4 5 4" xfId="4353" xr:uid="{00000000-0005-0000-0000-00005B2C0000}"/>
    <cellStyle name="Normal 4 3 4 5 4 2" xfId="9859" xr:uid="{00000000-0005-0000-0000-00005C2C0000}"/>
    <cellStyle name="Normal 4 3 4 5 5" xfId="7201" xr:uid="{00000000-0005-0000-0000-00005D2C0000}"/>
    <cellStyle name="Normal 4 3 4 6" xfId="1636" xr:uid="{00000000-0005-0000-0000-00005E2C0000}"/>
    <cellStyle name="Normal 4 3 4 6 2" xfId="4986" xr:uid="{00000000-0005-0000-0000-00005F2C0000}"/>
    <cellStyle name="Normal 4 3 4 6 2 2" xfId="10300" xr:uid="{00000000-0005-0000-0000-0000602C0000}"/>
    <cellStyle name="Normal 4 3 4 6 3" xfId="7642" xr:uid="{00000000-0005-0000-0000-0000612C0000}"/>
    <cellStyle name="Normal 4 3 4 7" xfId="2557" xr:uid="{00000000-0005-0000-0000-0000622C0000}"/>
    <cellStyle name="Normal 4 3 4 7 2" xfId="5863" xr:uid="{00000000-0005-0000-0000-0000632C0000}"/>
    <cellStyle name="Normal 4 3 4 7 2 2" xfId="11177" xr:uid="{00000000-0005-0000-0000-0000642C0000}"/>
    <cellStyle name="Normal 4 3 4 7 3" xfId="8519" xr:uid="{00000000-0005-0000-0000-0000652C0000}"/>
    <cellStyle name="Normal 4 3 4 8" xfId="3668" xr:uid="{00000000-0005-0000-0000-0000662C0000}"/>
    <cellStyle name="Normal 4 3 4 8 2" xfId="9423" xr:uid="{00000000-0005-0000-0000-0000672C0000}"/>
    <cellStyle name="Normal 4 3 4 9" xfId="6760" xr:uid="{00000000-0005-0000-0000-0000682C0000}"/>
    <cellStyle name="Normal 4 3 5" xfId="384" xr:uid="{00000000-0005-0000-0000-0000692C0000}"/>
    <cellStyle name="Normal 4 3 5 2" xfId="707" xr:uid="{00000000-0005-0000-0000-00006A2C0000}"/>
    <cellStyle name="Normal 4 3 5 2 2" xfId="1394" xr:uid="{00000000-0005-0000-0000-00006B2C0000}"/>
    <cellStyle name="Normal 4 3 5 2 2 2" xfId="2327" xr:uid="{00000000-0005-0000-0000-00006C2C0000}"/>
    <cellStyle name="Normal 4 3 5 2 2 2 2" xfId="5674" xr:uid="{00000000-0005-0000-0000-00006D2C0000}"/>
    <cellStyle name="Normal 4 3 5 2 2 2 2 2" xfId="10988" xr:uid="{00000000-0005-0000-0000-00006E2C0000}"/>
    <cellStyle name="Normal 4 3 5 2 2 2 3" xfId="8330" xr:uid="{00000000-0005-0000-0000-00006F2C0000}"/>
    <cellStyle name="Normal 4 3 5 2 2 3" xfId="3248" xr:uid="{00000000-0005-0000-0000-0000702C0000}"/>
    <cellStyle name="Normal 4 3 5 2 2 3 2" xfId="6551" xr:uid="{00000000-0005-0000-0000-0000712C0000}"/>
    <cellStyle name="Normal 4 3 5 2 2 3 2 2" xfId="11865" xr:uid="{00000000-0005-0000-0000-0000722C0000}"/>
    <cellStyle name="Normal 4 3 5 2 2 3 3" xfId="9207" xr:uid="{00000000-0005-0000-0000-0000732C0000}"/>
    <cellStyle name="Normal 4 3 5 2 2 4" xfId="4786" xr:uid="{00000000-0005-0000-0000-0000742C0000}"/>
    <cellStyle name="Normal 4 3 5 2 2 4 2" xfId="10111" xr:uid="{00000000-0005-0000-0000-0000752C0000}"/>
    <cellStyle name="Normal 4 3 5 2 2 5" xfId="7453" xr:uid="{00000000-0005-0000-0000-0000762C0000}"/>
    <cellStyle name="Normal 4 3 5 2 3" xfId="1889" xr:uid="{00000000-0005-0000-0000-0000772C0000}"/>
    <cellStyle name="Normal 4 3 5 2 3 2" xfId="5238" xr:uid="{00000000-0005-0000-0000-0000782C0000}"/>
    <cellStyle name="Normal 4 3 5 2 3 2 2" xfId="10552" xr:uid="{00000000-0005-0000-0000-0000792C0000}"/>
    <cellStyle name="Normal 4 3 5 2 3 3" xfId="7894" xr:uid="{00000000-0005-0000-0000-00007A2C0000}"/>
    <cellStyle name="Normal 4 3 5 2 4" xfId="2810" xr:uid="{00000000-0005-0000-0000-00007B2C0000}"/>
    <cellStyle name="Normal 4 3 5 2 4 2" xfId="6115" xr:uid="{00000000-0005-0000-0000-00007C2C0000}"/>
    <cellStyle name="Normal 4 3 5 2 4 2 2" xfId="11429" xr:uid="{00000000-0005-0000-0000-00007D2C0000}"/>
    <cellStyle name="Normal 4 3 5 2 4 3" xfId="8771" xr:uid="{00000000-0005-0000-0000-00007E2C0000}"/>
    <cellStyle name="Normal 4 3 5 2 5" xfId="4101" xr:uid="{00000000-0005-0000-0000-00007F2C0000}"/>
    <cellStyle name="Normal 4 3 5 2 5 2" xfId="9675" xr:uid="{00000000-0005-0000-0000-0000802C0000}"/>
    <cellStyle name="Normal 4 3 5 2 6" xfId="7017" xr:uid="{00000000-0005-0000-0000-0000812C0000}"/>
    <cellStyle name="Normal 4 3 5 3" xfId="1072" xr:uid="{00000000-0005-0000-0000-0000822C0000}"/>
    <cellStyle name="Normal 4 3 5 3 2" xfId="2127" xr:uid="{00000000-0005-0000-0000-0000832C0000}"/>
    <cellStyle name="Normal 4 3 5 3 2 2" xfId="5474" xr:uid="{00000000-0005-0000-0000-0000842C0000}"/>
    <cellStyle name="Normal 4 3 5 3 2 2 2" xfId="10788" xr:uid="{00000000-0005-0000-0000-0000852C0000}"/>
    <cellStyle name="Normal 4 3 5 3 2 3" xfId="8130" xr:uid="{00000000-0005-0000-0000-0000862C0000}"/>
    <cellStyle name="Normal 4 3 5 3 3" xfId="3048" xr:uid="{00000000-0005-0000-0000-0000872C0000}"/>
    <cellStyle name="Normal 4 3 5 3 3 2" xfId="6351" xr:uid="{00000000-0005-0000-0000-0000882C0000}"/>
    <cellStyle name="Normal 4 3 5 3 3 2 2" xfId="11665" xr:uid="{00000000-0005-0000-0000-0000892C0000}"/>
    <cellStyle name="Normal 4 3 5 3 3 3" xfId="9007" xr:uid="{00000000-0005-0000-0000-00008A2C0000}"/>
    <cellStyle name="Normal 4 3 5 3 4" xfId="4464" xr:uid="{00000000-0005-0000-0000-00008B2C0000}"/>
    <cellStyle name="Normal 4 3 5 3 4 2" xfId="9911" xr:uid="{00000000-0005-0000-0000-00008C2C0000}"/>
    <cellStyle name="Normal 4 3 5 3 5" xfId="7253" xr:uid="{00000000-0005-0000-0000-00008D2C0000}"/>
    <cellStyle name="Normal 4 3 5 4" xfId="1689" xr:uid="{00000000-0005-0000-0000-00008E2C0000}"/>
    <cellStyle name="Normal 4 3 5 4 2" xfId="5038" xr:uid="{00000000-0005-0000-0000-00008F2C0000}"/>
    <cellStyle name="Normal 4 3 5 4 2 2" xfId="10352" xr:uid="{00000000-0005-0000-0000-0000902C0000}"/>
    <cellStyle name="Normal 4 3 5 4 3" xfId="7694" xr:uid="{00000000-0005-0000-0000-0000912C0000}"/>
    <cellStyle name="Normal 4 3 5 5" xfId="2610" xr:uid="{00000000-0005-0000-0000-0000922C0000}"/>
    <cellStyle name="Normal 4 3 5 5 2" xfId="5915" xr:uid="{00000000-0005-0000-0000-0000932C0000}"/>
    <cellStyle name="Normal 4 3 5 5 2 2" xfId="11229" xr:uid="{00000000-0005-0000-0000-0000942C0000}"/>
    <cellStyle name="Normal 4 3 5 5 3" xfId="8571" xr:uid="{00000000-0005-0000-0000-0000952C0000}"/>
    <cellStyle name="Normal 4 3 5 6" xfId="3779" xr:uid="{00000000-0005-0000-0000-0000962C0000}"/>
    <cellStyle name="Normal 4 3 5 6 2" xfId="9475" xr:uid="{00000000-0005-0000-0000-0000972C0000}"/>
    <cellStyle name="Normal 4 3 5 7" xfId="6817" xr:uid="{00000000-0005-0000-0000-0000982C0000}"/>
    <cellStyle name="Normal 4 3 6" xfId="559" xr:uid="{00000000-0005-0000-0000-0000992C0000}"/>
    <cellStyle name="Normal 4 3 6 2" xfId="1246" xr:uid="{00000000-0005-0000-0000-00009A2C0000}"/>
    <cellStyle name="Normal 4 3 6 2 2" xfId="2238" xr:uid="{00000000-0005-0000-0000-00009B2C0000}"/>
    <cellStyle name="Normal 4 3 6 2 2 2" xfId="5585" xr:uid="{00000000-0005-0000-0000-00009C2C0000}"/>
    <cellStyle name="Normal 4 3 6 2 2 2 2" xfId="10899" xr:uid="{00000000-0005-0000-0000-00009D2C0000}"/>
    <cellStyle name="Normal 4 3 6 2 2 3" xfId="8241" xr:uid="{00000000-0005-0000-0000-00009E2C0000}"/>
    <cellStyle name="Normal 4 3 6 2 3" xfId="3159" xr:uid="{00000000-0005-0000-0000-00009F2C0000}"/>
    <cellStyle name="Normal 4 3 6 2 3 2" xfId="6462" xr:uid="{00000000-0005-0000-0000-0000A02C0000}"/>
    <cellStyle name="Normal 4 3 6 2 3 2 2" xfId="11776" xr:uid="{00000000-0005-0000-0000-0000A12C0000}"/>
    <cellStyle name="Normal 4 3 6 2 3 3" xfId="9118" xr:uid="{00000000-0005-0000-0000-0000A22C0000}"/>
    <cellStyle name="Normal 4 3 6 2 4" xfId="4638" xr:uid="{00000000-0005-0000-0000-0000A32C0000}"/>
    <cellStyle name="Normal 4 3 6 2 4 2" xfId="10022" xr:uid="{00000000-0005-0000-0000-0000A42C0000}"/>
    <cellStyle name="Normal 4 3 6 2 5" xfId="7364" xr:uid="{00000000-0005-0000-0000-0000A52C0000}"/>
    <cellStyle name="Normal 4 3 6 3" xfId="1800" xr:uid="{00000000-0005-0000-0000-0000A62C0000}"/>
    <cellStyle name="Normal 4 3 6 3 2" xfId="5149" xr:uid="{00000000-0005-0000-0000-0000A72C0000}"/>
    <cellStyle name="Normal 4 3 6 3 2 2" xfId="10463" xr:uid="{00000000-0005-0000-0000-0000A82C0000}"/>
    <cellStyle name="Normal 4 3 6 3 3" xfId="7805" xr:uid="{00000000-0005-0000-0000-0000A92C0000}"/>
    <cellStyle name="Normal 4 3 6 4" xfId="2721" xr:uid="{00000000-0005-0000-0000-0000AA2C0000}"/>
    <cellStyle name="Normal 4 3 6 4 2" xfId="6026" xr:uid="{00000000-0005-0000-0000-0000AB2C0000}"/>
    <cellStyle name="Normal 4 3 6 4 2 2" xfId="11340" xr:uid="{00000000-0005-0000-0000-0000AC2C0000}"/>
    <cellStyle name="Normal 4 3 6 4 3" xfId="8682" xr:uid="{00000000-0005-0000-0000-0000AD2C0000}"/>
    <cellStyle name="Normal 4 3 6 5" xfId="3953" xr:uid="{00000000-0005-0000-0000-0000AE2C0000}"/>
    <cellStyle name="Normal 4 3 6 5 2" xfId="9586" xr:uid="{00000000-0005-0000-0000-0000AF2C0000}"/>
    <cellStyle name="Normal 4 3 6 6" xfId="6928" xr:uid="{00000000-0005-0000-0000-0000B02C0000}"/>
    <cellStyle name="Normal 4 3 7" xfId="924" xr:uid="{00000000-0005-0000-0000-0000B12C0000}"/>
    <cellStyle name="Normal 4 3 7 2" xfId="2038" xr:uid="{00000000-0005-0000-0000-0000B22C0000}"/>
    <cellStyle name="Normal 4 3 7 2 2" xfId="5385" xr:uid="{00000000-0005-0000-0000-0000B32C0000}"/>
    <cellStyle name="Normal 4 3 7 2 2 2" xfId="10699" xr:uid="{00000000-0005-0000-0000-0000B42C0000}"/>
    <cellStyle name="Normal 4 3 7 2 3" xfId="8041" xr:uid="{00000000-0005-0000-0000-0000B52C0000}"/>
    <cellStyle name="Normal 4 3 7 3" xfId="2959" xr:uid="{00000000-0005-0000-0000-0000B62C0000}"/>
    <cellStyle name="Normal 4 3 7 3 2" xfId="6262" xr:uid="{00000000-0005-0000-0000-0000B72C0000}"/>
    <cellStyle name="Normal 4 3 7 3 2 2" xfId="11576" xr:uid="{00000000-0005-0000-0000-0000B82C0000}"/>
    <cellStyle name="Normal 4 3 7 3 3" xfId="8918" xr:uid="{00000000-0005-0000-0000-0000B92C0000}"/>
    <cellStyle name="Normal 4 3 7 4" xfId="4316" xr:uid="{00000000-0005-0000-0000-0000BA2C0000}"/>
    <cellStyle name="Normal 4 3 7 4 2" xfId="9822" xr:uid="{00000000-0005-0000-0000-0000BB2C0000}"/>
    <cellStyle name="Normal 4 3 7 5" xfId="7164" xr:uid="{00000000-0005-0000-0000-0000BC2C0000}"/>
    <cellStyle name="Normal 4 3 8" xfId="1593" xr:uid="{00000000-0005-0000-0000-0000BD2C0000}"/>
    <cellStyle name="Normal 4 3 8 2" xfId="4949" xr:uid="{00000000-0005-0000-0000-0000BE2C0000}"/>
    <cellStyle name="Normal 4 3 8 2 2" xfId="10263" xr:uid="{00000000-0005-0000-0000-0000BF2C0000}"/>
    <cellStyle name="Normal 4 3 8 3" xfId="7605" xr:uid="{00000000-0005-0000-0000-0000C02C0000}"/>
    <cellStyle name="Normal 4 3 9" xfId="2515" xr:uid="{00000000-0005-0000-0000-0000C12C0000}"/>
    <cellStyle name="Normal 4 3 9 2" xfId="5826" xr:uid="{00000000-0005-0000-0000-0000C22C0000}"/>
    <cellStyle name="Normal 4 3 9 2 2" xfId="11140" xr:uid="{00000000-0005-0000-0000-0000C32C0000}"/>
    <cellStyle name="Normal 4 3 9 3" xfId="8482" xr:uid="{00000000-0005-0000-0000-0000C42C0000}"/>
    <cellStyle name="Normal 4 4" xfId="279" xr:uid="{00000000-0005-0000-0000-0000C52C0000}"/>
    <cellStyle name="Normal 4 4 2" xfId="3524" xr:uid="{00000000-0005-0000-0000-0000C62C0000}"/>
    <cellStyle name="Normal 4 5" xfId="3520" xr:uid="{00000000-0005-0000-0000-0000C72C0000}"/>
    <cellStyle name="Normal 5" xfId="54" xr:uid="{00000000-0005-0000-0000-0000C82C0000}"/>
    <cellStyle name="Normal 5 2" xfId="3526" xr:uid="{00000000-0005-0000-0000-0000C92C0000}"/>
    <cellStyle name="Normal 5 3" xfId="3397" xr:uid="{00000000-0005-0000-0000-0000CA2C0000}"/>
    <cellStyle name="Normal 5 4" xfId="3396" xr:uid="{00000000-0005-0000-0000-0000CB2C0000}"/>
    <cellStyle name="Normal 5 5" xfId="3525" xr:uid="{00000000-0005-0000-0000-0000CC2C0000}"/>
    <cellStyle name="Normal 5 5 2" xfId="9364" xr:uid="{00000000-0005-0000-0000-0000CD2C0000}"/>
    <cellStyle name="Normal 6" xfId="55" xr:uid="{00000000-0005-0000-0000-0000CE2C0000}"/>
    <cellStyle name="Normal 6 10" xfId="3424" xr:uid="{00000000-0005-0000-0000-0000CF2C0000}"/>
    <cellStyle name="Normal 6 11" xfId="3555" xr:uid="{00000000-0005-0000-0000-0000D02C0000}"/>
    <cellStyle name="Normal 6 11 2" xfId="9367" xr:uid="{00000000-0005-0000-0000-0000D12C0000}"/>
    <cellStyle name="Normal 6 12" xfId="6704" xr:uid="{00000000-0005-0000-0000-0000D22C0000}"/>
    <cellStyle name="Normal 6 2" xfId="174" xr:uid="{00000000-0005-0000-0000-0000D32C0000}"/>
    <cellStyle name="Normal 6 2 10" xfId="6718" xr:uid="{00000000-0005-0000-0000-0000D42C0000}"/>
    <cellStyle name="Normal 6 2 2" xfId="209" xr:uid="{00000000-0005-0000-0000-0000D52C0000}"/>
    <cellStyle name="Normal 6 2 2 2" xfId="404" xr:uid="{00000000-0005-0000-0000-0000D62C0000}"/>
    <cellStyle name="Normal 6 2 2 2 2" xfId="727" xr:uid="{00000000-0005-0000-0000-0000D72C0000}"/>
    <cellStyle name="Normal 6 2 2 2 2 2" xfId="1414" xr:uid="{00000000-0005-0000-0000-0000D82C0000}"/>
    <cellStyle name="Normal 6 2 2 2 2 2 2" xfId="2346" xr:uid="{00000000-0005-0000-0000-0000D92C0000}"/>
    <cellStyle name="Normal 6 2 2 2 2 2 2 2" xfId="5693" xr:uid="{00000000-0005-0000-0000-0000DA2C0000}"/>
    <cellStyle name="Normal 6 2 2 2 2 2 2 2 2" xfId="11007" xr:uid="{00000000-0005-0000-0000-0000DB2C0000}"/>
    <cellStyle name="Normal 6 2 2 2 2 2 2 3" xfId="8349" xr:uid="{00000000-0005-0000-0000-0000DC2C0000}"/>
    <cellStyle name="Normal 6 2 2 2 2 2 3" xfId="3267" xr:uid="{00000000-0005-0000-0000-0000DD2C0000}"/>
    <cellStyle name="Normal 6 2 2 2 2 2 3 2" xfId="6570" xr:uid="{00000000-0005-0000-0000-0000DE2C0000}"/>
    <cellStyle name="Normal 6 2 2 2 2 2 3 2 2" xfId="11884" xr:uid="{00000000-0005-0000-0000-0000DF2C0000}"/>
    <cellStyle name="Normal 6 2 2 2 2 2 3 3" xfId="9226" xr:uid="{00000000-0005-0000-0000-0000E02C0000}"/>
    <cellStyle name="Normal 6 2 2 2 2 2 4" xfId="4806" xr:uid="{00000000-0005-0000-0000-0000E12C0000}"/>
    <cellStyle name="Normal 6 2 2 2 2 2 4 2" xfId="10130" xr:uid="{00000000-0005-0000-0000-0000E22C0000}"/>
    <cellStyle name="Normal 6 2 2 2 2 2 5" xfId="7472" xr:uid="{00000000-0005-0000-0000-0000E32C0000}"/>
    <cellStyle name="Normal 6 2 2 2 2 3" xfId="1908" xr:uid="{00000000-0005-0000-0000-0000E42C0000}"/>
    <cellStyle name="Normal 6 2 2 2 2 3 2" xfId="5257" xr:uid="{00000000-0005-0000-0000-0000E52C0000}"/>
    <cellStyle name="Normal 6 2 2 2 2 3 2 2" xfId="10571" xr:uid="{00000000-0005-0000-0000-0000E62C0000}"/>
    <cellStyle name="Normal 6 2 2 2 2 3 3" xfId="7913" xr:uid="{00000000-0005-0000-0000-0000E72C0000}"/>
    <cellStyle name="Normal 6 2 2 2 2 4" xfId="2829" xr:uid="{00000000-0005-0000-0000-0000E82C0000}"/>
    <cellStyle name="Normal 6 2 2 2 2 4 2" xfId="6134" xr:uid="{00000000-0005-0000-0000-0000E92C0000}"/>
    <cellStyle name="Normal 6 2 2 2 2 4 2 2" xfId="11448" xr:uid="{00000000-0005-0000-0000-0000EA2C0000}"/>
    <cellStyle name="Normal 6 2 2 2 2 4 3" xfId="8790" xr:uid="{00000000-0005-0000-0000-0000EB2C0000}"/>
    <cellStyle name="Normal 6 2 2 2 2 5" xfId="4121" xr:uid="{00000000-0005-0000-0000-0000EC2C0000}"/>
    <cellStyle name="Normal 6 2 2 2 2 5 2" xfId="9694" xr:uid="{00000000-0005-0000-0000-0000ED2C0000}"/>
    <cellStyle name="Normal 6 2 2 2 2 6" xfId="7036" xr:uid="{00000000-0005-0000-0000-0000EE2C0000}"/>
    <cellStyle name="Normal 6 2 2 2 3" xfId="1092" xr:uid="{00000000-0005-0000-0000-0000EF2C0000}"/>
    <cellStyle name="Normal 6 2 2 2 3 2" xfId="2146" xr:uid="{00000000-0005-0000-0000-0000F02C0000}"/>
    <cellStyle name="Normal 6 2 2 2 3 2 2" xfId="5493" xr:uid="{00000000-0005-0000-0000-0000F12C0000}"/>
    <cellStyle name="Normal 6 2 2 2 3 2 2 2" xfId="10807" xr:uid="{00000000-0005-0000-0000-0000F22C0000}"/>
    <cellStyle name="Normal 6 2 2 2 3 2 3" xfId="8149" xr:uid="{00000000-0005-0000-0000-0000F32C0000}"/>
    <cellStyle name="Normal 6 2 2 2 3 3" xfId="3067" xr:uid="{00000000-0005-0000-0000-0000F42C0000}"/>
    <cellStyle name="Normal 6 2 2 2 3 3 2" xfId="6370" xr:uid="{00000000-0005-0000-0000-0000F52C0000}"/>
    <cellStyle name="Normal 6 2 2 2 3 3 2 2" xfId="11684" xr:uid="{00000000-0005-0000-0000-0000F62C0000}"/>
    <cellStyle name="Normal 6 2 2 2 3 3 3" xfId="9026" xr:uid="{00000000-0005-0000-0000-0000F72C0000}"/>
    <cellStyle name="Normal 6 2 2 2 3 4" xfId="4484" xr:uid="{00000000-0005-0000-0000-0000F82C0000}"/>
    <cellStyle name="Normal 6 2 2 2 3 4 2" xfId="9930" xr:uid="{00000000-0005-0000-0000-0000F92C0000}"/>
    <cellStyle name="Normal 6 2 2 2 3 5" xfId="7272" xr:uid="{00000000-0005-0000-0000-0000FA2C0000}"/>
    <cellStyle name="Normal 6 2 2 2 4" xfId="1708" xr:uid="{00000000-0005-0000-0000-0000FB2C0000}"/>
    <cellStyle name="Normal 6 2 2 2 4 2" xfId="5057" xr:uid="{00000000-0005-0000-0000-0000FC2C0000}"/>
    <cellStyle name="Normal 6 2 2 2 4 2 2" xfId="10371" xr:uid="{00000000-0005-0000-0000-0000FD2C0000}"/>
    <cellStyle name="Normal 6 2 2 2 4 3" xfId="7713" xr:uid="{00000000-0005-0000-0000-0000FE2C0000}"/>
    <cellStyle name="Normal 6 2 2 2 5" xfId="2629" xr:uid="{00000000-0005-0000-0000-0000FF2C0000}"/>
    <cellStyle name="Normal 6 2 2 2 5 2" xfId="5934" xr:uid="{00000000-0005-0000-0000-0000002D0000}"/>
    <cellStyle name="Normal 6 2 2 2 5 2 2" xfId="11248" xr:uid="{00000000-0005-0000-0000-0000012D0000}"/>
    <cellStyle name="Normal 6 2 2 2 5 3" xfId="8590" xr:uid="{00000000-0005-0000-0000-0000022D0000}"/>
    <cellStyle name="Normal 6 2 2 2 6" xfId="3799" xr:uid="{00000000-0005-0000-0000-0000032D0000}"/>
    <cellStyle name="Normal 6 2 2 2 6 2" xfId="9494" xr:uid="{00000000-0005-0000-0000-0000042D0000}"/>
    <cellStyle name="Normal 6 2 2 2 7" xfId="6836" xr:uid="{00000000-0005-0000-0000-0000052D0000}"/>
    <cellStyle name="Normal 6 2 2 3" xfId="578" xr:uid="{00000000-0005-0000-0000-0000062D0000}"/>
    <cellStyle name="Normal 6 2 2 3 2" xfId="1265" xr:uid="{00000000-0005-0000-0000-0000072D0000}"/>
    <cellStyle name="Normal 6 2 2 3 2 2" xfId="2257" xr:uid="{00000000-0005-0000-0000-0000082D0000}"/>
    <cellStyle name="Normal 6 2 2 3 2 2 2" xfId="5604" xr:uid="{00000000-0005-0000-0000-0000092D0000}"/>
    <cellStyle name="Normal 6 2 2 3 2 2 2 2" xfId="10918" xr:uid="{00000000-0005-0000-0000-00000A2D0000}"/>
    <cellStyle name="Normal 6 2 2 3 2 2 3" xfId="8260" xr:uid="{00000000-0005-0000-0000-00000B2D0000}"/>
    <cellStyle name="Normal 6 2 2 3 2 3" xfId="3178" xr:uid="{00000000-0005-0000-0000-00000C2D0000}"/>
    <cellStyle name="Normal 6 2 2 3 2 3 2" xfId="6481" xr:uid="{00000000-0005-0000-0000-00000D2D0000}"/>
    <cellStyle name="Normal 6 2 2 3 2 3 2 2" xfId="11795" xr:uid="{00000000-0005-0000-0000-00000E2D0000}"/>
    <cellStyle name="Normal 6 2 2 3 2 3 3" xfId="9137" xr:uid="{00000000-0005-0000-0000-00000F2D0000}"/>
    <cellStyle name="Normal 6 2 2 3 2 4" xfId="4657" xr:uid="{00000000-0005-0000-0000-0000102D0000}"/>
    <cellStyle name="Normal 6 2 2 3 2 4 2" xfId="10041" xr:uid="{00000000-0005-0000-0000-0000112D0000}"/>
    <cellStyle name="Normal 6 2 2 3 2 5" xfId="7383" xr:uid="{00000000-0005-0000-0000-0000122D0000}"/>
    <cellStyle name="Normal 6 2 2 3 3" xfId="1819" xr:uid="{00000000-0005-0000-0000-0000132D0000}"/>
    <cellStyle name="Normal 6 2 2 3 3 2" xfId="5168" xr:uid="{00000000-0005-0000-0000-0000142D0000}"/>
    <cellStyle name="Normal 6 2 2 3 3 2 2" xfId="10482" xr:uid="{00000000-0005-0000-0000-0000152D0000}"/>
    <cellStyle name="Normal 6 2 2 3 3 3" xfId="7824" xr:uid="{00000000-0005-0000-0000-0000162D0000}"/>
    <cellStyle name="Normal 6 2 2 3 4" xfId="2740" xr:uid="{00000000-0005-0000-0000-0000172D0000}"/>
    <cellStyle name="Normal 6 2 2 3 4 2" xfId="6045" xr:uid="{00000000-0005-0000-0000-0000182D0000}"/>
    <cellStyle name="Normal 6 2 2 3 4 2 2" xfId="11359" xr:uid="{00000000-0005-0000-0000-0000192D0000}"/>
    <cellStyle name="Normal 6 2 2 3 4 3" xfId="8701" xr:uid="{00000000-0005-0000-0000-00001A2D0000}"/>
    <cellStyle name="Normal 6 2 2 3 5" xfId="3972" xr:uid="{00000000-0005-0000-0000-00001B2D0000}"/>
    <cellStyle name="Normal 6 2 2 3 5 2" xfId="9605" xr:uid="{00000000-0005-0000-0000-00001C2D0000}"/>
    <cellStyle name="Normal 6 2 2 3 6" xfId="6947" xr:uid="{00000000-0005-0000-0000-00001D2D0000}"/>
    <cellStyle name="Normal 6 2 2 4" xfId="943" xr:uid="{00000000-0005-0000-0000-00001E2D0000}"/>
    <cellStyle name="Normal 6 2 2 4 2" xfId="2057" xr:uid="{00000000-0005-0000-0000-00001F2D0000}"/>
    <cellStyle name="Normal 6 2 2 4 2 2" xfId="5404" xr:uid="{00000000-0005-0000-0000-0000202D0000}"/>
    <cellStyle name="Normal 6 2 2 4 2 2 2" xfId="10718" xr:uid="{00000000-0005-0000-0000-0000212D0000}"/>
    <cellStyle name="Normal 6 2 2 4 2 3" xfId="8060" xr:uid="{00000000-0005-0000-0000-0000222D0000}"/>
    <cellStyle name="Normal 6 2 2 4 3" xfId="2978" xr:uid="{00000000-0005-0000-0000-0000232D0000}"/>
    <cellStyle name="Normal 6 2 2 4 3 2" xfId="6281" xr:uid="{00000000-0005-0000-0000-0000242D0000}"/>
    <cellStyle name="Normal 6 2 2 4 3 2 2" xfId="11595" xr:uid="{00000000-0005-0000-0000-0000252D0000}"/>
    <cellStyle name="Normal 6 2 2 4 3 3" xfId="8937" xr:uid="{00000000-0005-0000-0000-0000262D0000}"/>
    <cellStyle name="Normal 6 2 2 4 4" xfId="4335" xr:uid="{00000000-0005-0000-0000-0000272D0000}"/>
    <cellStyle name="Normal 6 2 2 4 4 2" xfId="9841" xr:uid="{00000000-0005-0000-0000-0000282D0000}"/>
    <cellStyle name="Normal 6 2 2 4 5" xfId="7183" xr:uid="{00000000-0005-0000-0000-0000292D0000}"/>
    <cellStyle name="Normal 6 2 2 5" xfId="1618" xr:uid="{00000000-0005-0000-0000-00002A2D0000}"/>
    <cellStyle name="Normal 6 2 2 5 2" xfId="4968" xr:uid="{00000000-0005-0000-0000-00002B2D0000}"/>
    <cellStyle name="Normal 6 2 2 5 2 2" xfId="10282" xr:uid="{00000000-0005-0000-0000-00002C2D0000}"/>
    <cellStyle name="Normal 6 2 2 5 3" xfId="7624" xr:uid="{00000000-0005-0000-0000-00002D2D0000}"/>
    <cellStyle name="Normal 6 2 2 6" xfId="2539" xr:uid="{00000000-0005-0000-0000-00002E2D0000}"/>
    <cellStyle name="Normal 6 2 2 6 2" xfId="5845" xr:uid="{00000000-0005-0000-0000-00002F2D0000}"/>
    <cellStyle name="Normal 6 2 2 6 2 2" xfId="11159" xr:uid="{00000000-0005-0000-0000-0000302D0000}"/>
    <cellStyle name="Normal 6 2 2 6 3" xfId="8501" xr:uid="{00000000-0005-0000-0000-0000312D0000}"/>
    <cellStyle name="Normal 6 2 2 7" xfId="3650" xr:uid="{00000000-0005-0000-0000-0000322D0000}"/>
    <cellStyle name="Normal 6 2 2 7 2" xfId="9405" xr:uid="{00000000-0005-0000-0000-0000332D0000}"/>
    <cellStyle name="Normal 6 2 2 8" xfId="6742" xr:uid="{00000000-0005-0000-0000-0000342D0000}"/>
    <cellStyle name="Normal 6 2 3" xfId="379" xr:uid="{00000000-0005-0000-0000-0000352D0000}"/>
    <cellStyle name="Normal 6 2 3 2" xfId="702" xr:uid="{00000000-0005-0000-0000-0000362D0000}"/>
    <cellStyle name="Normal 6 2 3 2 2" xfId="1389" xr:uid="{00000000-0005-0000-0000-0000372D0000}"/>
    <cellStyle name="Normal 6 2 3 2 2 2" xfId="2322" xr:uid="{00000000-0005-0000-0000-0000382D0000}"/>
    <cellStyle name="Normal 6 2 3 2 2 2 2" xfId="5669" xr:uid="{00000000-0005-0000-0000-0000392D0000}"/>
    <cellStyle name="Normal 6 2 3 2 2 2 2 2" xfId="10983" xr:uid="{00000000-0005-0000-0000-00003A2D0000}"/>
    <cellStyle name="Normal 6 2 3 2 2 2 3" xfId="8325" xr:uid="{00000000-0005-0000-0000-00003B2D0000}"/>
    <cellStyle name="Normal 6 2 3 2 2 3" xfId="3243" xr:uid="{00000000-0005-0000-0000-00003C2D0000}"/>
    <cellStyle name="Normal 6 2 3 2 2 3 2" xfId="6546" xr:uid="{00000000-0005-0000-0000-00003D2D0000}"/>
    <cellStyle name="Normal 6 2 3 2 2 3 2 2" xfId="11860" xr:uid="{00000000-0005-0000-0000-00003E2D0000}"/>
    <cellStyle name="Normal 6 2 3 2 2 3 3" xfId="9202" xr:uid="{00000000-0005-0000-0000-00003F2D0000}"/>
    <cellStyle name="Normal 6 2 3 2 2 4" xfId="4781" xr:uid="{00000000-0005-0000-0000-0000402D0000}"/>
    <cellStyle name="Normal 6 2 3 2 2 4 2" xfId="10106" xr:uid="{00000000-0005-0000-0000-0000412D0000}"/>
    <cellStyle name="Normal 6 2 3 2 2 5" xfId="7448" xr:uid="{00000000-0005-0000-0000-0000422D0000}"/>
    <cellStyle name="Normal 6 2 3 2 3" xfId="1884" xr:uid="{00000000-0005-0000-0000-0000432D0000}"/>
    <cellStyle name="Normal 6 2 3 2 3 2" xfId="5233" xr:uid="{00000000-0005-0000-0000-0000442D0000}"/>
    <cellStyle name="Normal 6 2 3 2 3 2 2" xfId="10547" xr:uid="{00000000-0005-0000-0000-0000452D0000}"/>
    <cellStyle name="Normal 6 2 3 2 3 3" xfId="7889" xr:uid="{00000000-0005-0000-0000-0000462D0000}"/>
    <cellStyle name="Normal 6 2 3 2 4" xfId="2805" xr:uid="{00000000-0005-0000-0000-0000472D0000}"/>
    <cellStyle name="Normal 6 2 3 2 4 2" xfId="6110" xr:uid="{00000000-0005-0000-0000-0000482D0000}"/>
    <cellStyle name="Normal 6 2 3 2 4 2 2" xfId="11424" xr:uid="{00000000-0005-0000-0000-0000492D0000}"/>
    <cellStyle name="Normal 6 2 3 2 4 3" xfId="8766" xr:uid="{00000000-0005-0000-0000-00004A2D0000}"/>
    <cellStyle name="Normal 6 2 3 2 5" xfId="4096" xr:uid="{00000000-0005-0000-0000-00004B2D0000}"/>
    <cellStyle name="Normal 6 2 3 2 5 2" xfId="9670" xr:uid="{00000000-0005-0000-0000-00004C2D0000}"/>
    <cellStyle name="Normal 6 2 3 2 6" xfId="7012" xr:uid="{00000000-0005-0000-0000-00004D2D0000}"/>
    <cellStyle name="Normal 6 2 3 3" xfId="1067" xr:uid="{00000000-0005-0000-0000-00004E2D0000}"/>
    <cellStyle name="Normal 6 2 3 3 2" xfId="2122" xr:uid="{00000000-0005-0000-0000-00004F2D0000}"/>
    <cellStyle name="Normal 6 2 3 3 2 2" xfId="5469" xr:uid="{00000000-0005-0000-0000-0000502D0000}"/>
    <cellStyle name="Normal 6 2 3 3 2 2 2" xfId="10783" xr:uid="{00000000-0005-0000-0000-0000512D0000}"/>
    <cellStyle name="Normal 6 2 3 3 2 3" xfId="8125" xr:uid="{00000000-0005-0000-0000-0000522D0000}"/>
    <cellStyle name="Normal 6 2 3 3 3" xfId="3043" xr:uid="{00000000-0005-0000-0000-0000532D0000}"/>
    <cellStyle name="Normal 6 2 3 3 3 2" xfId="6346" xr:uid="{00000000-0005-0000-0000-0000542D0000}"/>
    <cellStyle name="Normal 6 2 3 3 3 2 2" xfId="11660" xr:uid="{00000000-0005-0000-0000-0000552D0000}"/>
    <cellStyle name="Normal 6 2 3 3 3 3" xfId="9002" xr:uid="{00000000-0005-0000-0000-0000562D0000}"/>
    <cellStyle name="Normal 6 2 3 3 4" xfId="4459" xr:uid="{00000000-0005-0000-0000-0000572D0000}"/>
    <cellStyle name="Normal 6 2 3 3 4 2" xfId="9906" xr:uid="{00000000-0005-0000-0000-0000582D0000}"/>
    <cellStyle name="Normal 6 2 3 3 5" xfId="7248" xr:uid="{00000000-0005-0000-0000-0000592D0000}"/>
    <cellStyle name="Normal 6 2 3 4" xfId="1684" xr:uid="{00000000-0005-0000-0000-00005A2D0000}"/>
    <cellStyle name="Normal 6 2 3 4 2" xfId="5033" xr:uid="{00000000-0005-0000-0000-00005B2D0000}"/>
    <cellStyle name="Normal 6 2 3 4 2 2" xfId="10347" xr:uid="{00000000-0005-0000-0000-00005C2D0000}"/>
    <cellStyle name="Normal 6 2 3 4 3" xfId="7689" xr:uid="{00000000-0005-0000-0000-00005D2D0000}"/>
    <cellStyle name="Normal 6 2 3 5" xfId="2605" xr:uid="{00000000-0005-0000-0000-00005E2D0000}"/>
    <cellStyle name="Normal 6 2 3 5 2" xfId="5910" xr:uid="{00000000-0005-0000-0000-00005F2D0000}"/>
    <cellStyle name="Normal 6 2 3 5 2 2" xfId="11224" xr:uid="{00000000-0005-0000-0000-0000602D0000}"/>
    <cellStyle name="Normal 6 2 3 5 3" xfId="8566" xr:uid="{00000000-0005-0000-0000-0000612D0000}"/>
    <cellStyle name="Normal 6 2 3 6" xfId="3774" xr:uid="{00000000-0005-0000-0000-0000622D0000}"/>
    <cellStyle name="Normal 6 2 3 6 2" xfId="9470" xr:uid="{00000000-0005-0000-0000-0000632D0000}"/>
    <cellStyle name="Normal 6 2 3 7" xfId="6812" xr:uid="{00000000-0005-0000-0000-0000642D0000}"/>
    <cellStyle name="Normal 6 2 4" xfId="554" xr:uid="{00000000-0005-0000-0000-0000652D0000}"/>
    <cellStyle name="Normal 6 2 4 2" xfId="1241" xr:uid="{00000000-0005-0000-0000-0000662D0000}"/>
    <cellStyle name="Normal 6 2 4 2 2" xfId="2233" xr:uid="{00000000-0005-0000-0000-0000672D0000}"/>
    <cellStyle name="Normal 6 2 4 2 2 2" xfId="5580" xr:uid="{00000000-0005-0000-0000-0000682D0000}"/>
    <cellStyle name="Normal 6 2 4 2 2 2 2" xfId="10894" xr:uid="{00000000-0005-0000-0000-0000692D0000}"/>
    <cellStyle name="Normal 6 2 4 2 2 3" xfId="8236" xr:uid="{00000000-0005-0000-0000-00006A2D0000}"/>
    <cellStyle name="Normal 6 2 4 2 3" xfId="3154" xr:uid="{00000000-0005-0000-0000-00006B2D0000}"/>
    <cellStyle name="Normal 6 2 4 2 3 2" xfId="6457" xr:uid="{00000000-0005-0000-0000-00006C2D0000}"/>
    <cellStyle name="Normal 6 2 4 2 3 2 2" xfId="11771" xr:uid="{00000000-0005-0000-0000-00006D2D0000}"/>
    <cellStyle name="Normal 6 2 4 2 3 3" xfId="9113" xr:uid="{00000000-0005-0000-0000-00006E2D0000}"/>
    <cellStyle name="Normal 6 2 4 2 4" xfId="4633" xr:uid="{00000000-0005-0000-0000-00006F2D0000}"/>
    <cellStyle name="Normal 6 2 4 2 4 2" xfId="10017" xr:uid="{00000000-0005-0000-0000-0000702D0000}"/>
    <cellStyle name="Normal 6 2 4 2 5" xfId="7359" xr:uid="{00000000-0005-0000-0000-0000712D0000}"/>
    <cellStyle name="Normal 6 2 4 3" xfId="1795" xr:uid="{00000000-0005-0000-0000-0000722D0000}"/>
    <cellStyle name="Normal 6 2 4 3 2" xfId="5144" xr:uid="{00000000-0005-0000-0000-0000732D0000}"/>
    <cellStyle name="Normal 6 2 4 3 2 2" xfId="10458" xr:uid="{00000000-0005-0000-0000-0000742D0000}"/>
    <cellStyle name="Normal 6 2 4 3 3" xfId="7800" xr:uid="{00000000-0005-0000-0000-0000752D0000}"/>
    <cellStyle name="Normal 6 2 4 4" xfId="2716" xr:uid="{00000000-0005-0000-0000-0000762D0000}"/>
    <cellStyle name="Normal 6 2 4 4 2" xfId="6021" xr:uid="{00000000-0005-0000-0000-0000772D0000}"/>
    <cellStyle name="Normal 6 2 4 4 2 2" xfId="11335" xr:uid="{00000000-0005-0000-0000-0000782D0000}"/>
    <cellStyle name="Normal 6 2 4 4 3" xfId="8677" xr:uid="{00000000-0005-0000-0000-0000792D0000}"/>
    <cellStyle name="Normal 6 2 4 5" xfId="3948" xr:uid="{00000000-0005-0000-0000-00007A2D0000}"/>
    <cellStyle name="Normal 6 2 4 5 2" xfId="9581" xr:uid="{00000000-0005-0000-0000-00007B2D0000}"/>
    <cellStyle name="Normal 6 2 4 6" xfId="6923" xr:uid="{00000000-0005-0000-0000-00007C2D0000}"/>
    <cellStyle name="Normal 6 2 5" xfId="919" xr:uid="{00000000-0005-0000-0000-00007D2D0000}"/>
    <cellStyle name="Normal 6 2 5 2" xfId="2033" xr:uid="{00000000-0005-0000-0000-00007E2D0000}"/>
    <cellStyle name="Normal 6 2 5 2 2" xfId="5380" xr:uid="{00000000-0005-0000-0000-00007F2D0000}"/>
    <cellStyle name="Normal 6 2 5 2 2 2" xfId="10694" xr:uid="{00000000-0005-0000-0000-0000802D0000}"/>
    <cellStyle name="Normal 6 2 5 2 3" xfId="8036" xr:uid="{00000000-0005-0000-0000-0000812D0000}"/>
    <cellStyle name="Normal 6 2 5 3" xfId="2954" xr:uid="{00000000-0005-0000-0000-0000822D0000}"/>
    <cellStyle name="Normal 6 2 5 3 2" xfId="6257" xr:uid="{00000000-0005-0000-0000-0000832D0000}"/>
    <cellStyle name="Normal 6 2 5 3 2 2" xfId="11571" xr:uid="{00000000-0005-0000-0000-0000842D0000}"/>
    <cellStyle name="Normal 6 2 5 3 3" xfId="8913" xr:uid="{00000000-0005-0000-0000-0000852D0000}"/>
    <cellStyle name="Normal 6 2 5 4" xfId="4311" xr:uid="{00000000-0005-0000-0000-0000862D0000}"/>
    <cellStyle name="Normal 6 2 5 4 2" xfId="9817" xr:uid="{00000000-0005-0000-0000-0000872D0000}"/>
    <cellStyle name="Normal 6 2 5 5" xfId="7159" xr:uid="{00000000-0005-0000-0000-0000882D0000}"/>
    <cellStyle name="Normal 6 2 6" xfId="1588" xr:uid="{00000000-0005-0000-0000-0000892D0000}"/>
    <cellStyle name="Normal 6 2 6 2" xfId="4944" xr:uid="{00000000-0005-0000-0000-00008A2D0000}"/>
    <cellStyle name="Normal 6 2 6 2 2" xfId="10258" xr:uid="{00000000-0005-0000-0000-00008B2D0000}"/>
    <cellStyle name="Normal 6 2 6 3" xfId="7600" xr:uid="{00000000-0005-0000-0000-00008C2D0000}"/>
    <cellStyle name="Normal 6 2 7" xfId="2510" xr:uid="{00000000-0005-0000-0000-00008D2D0000}"/>
    <cellStyle name="Normal 6 2 7 2" xfId="5821" xr:uid="{00000000-0005-0000-0000-00008E2D0000}"/>
    <cellStyle name="Normal 6 2 7 2 2" xfId="11135" xr:uid="{00000000-0005-0000-0000-00008F2D0000}"/>
    <cellStyle name="Normal 6 2 7 3" xfId="8477" xr:uid="{00000000-0005-0000-0000-0000902D0000}"/>
    <cellStyle name="Normal 6 2 8" xfId="3527" xr:uid="{00000000-0005-0000-0000-0000912D0000}"/>
    <cellStyle name="Normal 6 2 8 2" xfId="9365" xr:uid="{00000000-0005-0000-0000-0000922D0000}"/>
    <cellStyle name="Normal 6 2 9" xfId="3626" xr:uid="{00000000-0005-0000-0000-0000932D0000}"/>
    <cellStyle name="Normal 6 2 9 2" xfId="9381" xr:uid="{00000000-0005-0000-0000-0000942D0000}"/>
    <cellStyle name="Normal 6 3" xfId="111" xr:uid="{00000000-0005-0000-0000-0000952D0000}"/>
    <cellStyle name="Normal 6 3 2" xfId="319" xr:uid="{00000000-0005-0000-0000-0000962D0000}"/>
    <cellStyle name="Normal 6 3 2 2" xfId="642" xr:uid="{00000000-0005-0000-0000-0000972D0000}"/>
    <cellStyle name="Normal 6 3 2 2 2" xfId="1329" xr:uid="{00000000-0005-0000-0000-0000982D0000}"/>
    <cellStyle name="Normal 6 3 2 2 2 2" xfId="2318" xr:uid="{00000000-0005-0000-0000-0000992D0000}"/>
    <cellStyle name="Normal 6 3 2 2 2 2 2" xfId="5665" xr:uid="{00000000-0005-0000-0000-00009A2D0000}"/>
    <cellStyle name="Normal 6 3 2 2 2 2 2 2" xfId="10979" xr:uid="{00000000-0005-0000-0000-00009B2D0000}"/>
    <cellStyle name="Normal 6 3 2 2 2 2 3" xfId="8321" xr:uid="{00000000-0005-0000-0000-00009C2D0000}"/>
    <cellStyle name="Normal 6 3 2 2 2 3" xfId="3239" xr:uid="{00000000-0005-0000-0000-00009D2D0000}"/>
    <cellStyle name="Normal 6 3 2 2 2 3 2" xfId="6542" xr:uid="{00000000-0005-0000-0000-00009E2D0000}"/>
    <cellStyle name="Normal 6 3 2 2 2 3 2 2" xfId="11856" xr:uid="{00000000-0005-0000-0000-00009F2D0000}"/>
    <cellStyle name="Normal 6 3 2 2 2 3 3" xfId="9198" xr:uid="{00000000-0005-0000-0000-0000A02D0000}"/>
    <cellStyle name="Normal 6 3 2 2 2 4" xfId="4721" xr:uid="{00000000-0005-0000-0000-0000A12D0000}"/>
    <cellStyle name="Normal 6 3 2 2 2 4 2" xfId="10102" xr:uid="{00000000-0005-0000-0000-0000A22D0000}"/>
    <cellStyle name="Normal 6 3 2 2 2 5" xfId="7444" xr:uid="{00000000-0005-0000-0000-0000A32D0000}"/>
    <cellStyle name="Normal 6 3 2 2 3" xfId="1880" xr:uid="{00000000-0005-0000-0000-0000A42D0000}"/>
    <cellStyle name="Normal 6 3 2 2 3 2" xfId="5229" xr:uid="{00000000-0005-0000-0000-0000A52D0000}"/>
    <cellStyle name="Normal 6 3 2 2 3 2 2" xfId="10543" xr:uid="{00000000-0005-0000-0000-0000A62D0000}"/>
    <cellStyle name="Normal 6 3 2 2 3 3" xfId="7885" xr:uid="{00000000-0005-0000-0000-0000A72D0000}"/>
    <cellStyle name="Normal 6 3 2 2 4" xfId="2801" xr:uid="{00000000-0005-0000-0000-0000A82D0000}"/>
    <cellStyle name="Normal 6 3 2 2 4 2" xfId="6106" xr:uid="{00000000-0005-0000-0000-0000A92D0000}"/>
    <cellStyle name="Normal 6 3 2 2 4 2 2" xfId="11420" xr:uid="{00000000-0005-0000-0000-0000AA2D0000}"/>
    <cellStyle name="Normal 6 3 2 2 4 3" xfId="8762" xr:uid="{00000000-0005-0000-0000-0000AB2D0000}"/>
    <cellStyle name="Normal 6 3 2 2 5" xfId="4036" xr:uid="{00000000-0005-0000-0000-0000AC2D0000}"/>
    <cellStyle name="Normal 6 3 2 2 5 2" xfId="9666" xr:uid="{00000000-0005-0000-0000-0000AD2D0000}"/>
    <cellStyle name="Normal 6 3 2 2 6" xfId="7008" xr:uid="{00000000-0005-0000-0000-0000AE2D0000}"/>
    <cellStyle name="Normal 6 3 2 3" xfId="1007" xr:uid="{00000000-0005-0000-0000-0000AF2D0000}"/>
    <cellStyle name="Normal 6 3 2 3 2" xfId="2118" xr:uid="{00000000-0005-0000-0000-0000B02D0000}"/>
    <cellStyle name="Normal 6 3 2 3 2 2" xfId="5465" xr:uid="{00000000-0005-0000-0000-0000B12D0000}"/>
    <cellStyle name="Normal 6 3 2 3 2 2 2" xfId="10779" xr:uid="{00000000-0005-0000-0000-0000B22D0000}"/>
    <cellStyle name="Normal 6 3 2 3 2 3" xfId="8121" xr:uid="{00000000-0005-0000-0000-0000B32D0000}"/>
    <cellStyle name="Normal 6 3 2 3 3" xfId="3039" xr:uid="{00000000-0005-0000-0000-0000B42D0000}"/>
    <cellStyle name="Normal 6 3 2 3 3 2" xfId="6342" xr:uid="{00000000-0005-0000-0000-0000B52D0000}"/>
    <cellStyle name="Normal 6 3 2 3 3 2 2" xfId="11656" xr:uid="{00000000-0005-0000-0000-0000B62D0000}"/>
    <cellStyle name="Normal 6 3 2 3 3 3" xfId="8998" xr:uid="{00000000-0005-0000-0000-0000B72D0000}"/>
    <cellStyle name="Normal 6 3 2 3 4" xfId="4399" xr:uid="{00000000-0005-0000-0000-0000B82D0000}"/>
    <cellStyle name="Normal 6 3 2 3 4 2" xfId="9902" xr:uid="{00000000-0005-0000-0000-0000B92D0000}"/>
    <cellStyle name="Normal 6 3 2 3 5" xfId="7244" xr:uid="{00000000-0005-0000-0000-0000BA2D0000}"/>
    <cellStyle name="Normal 6 3 2 4" xfId="1680" xr:uid="{00000000-0005-0000-0000-0000BB2D0000}"/>
    <cellStyle name="Normal 6 3 2 4 2" xfId="5029" xr:uid="{00000000-0005-0000-0000-0000BC2D0000}"/>
    <cellStyle name="Normal 6 3 2 4 2 2" xfId="10343" xr:uid="{00000000-0005-0000-0000-0000BD2D0000}"/>
    <cellStyle name="Normal 6 3 2 4 3" xfId="7685" xr:uid="{00000000-0005-0000-0000-0000BE2D0000}"/>
    <cellStyle name="Normal 6 3 2 5" xfId="2601" xr:uid="{00000000-0005-0000-0000-0000BF2D0000}"/>
    <cellStyle name="Normal 6 3 2 5 2" xfId="5906" xr:uid="{00000000-0005-0000-0000-0000C02D0000}"/>
    <cellStyle name="Normal 6 3 2 5 2 2" xfId="11220" xr:uid="{00000000-0005-0000-0000-0000C12D0000}"/>
    <cellStyle name="Normal 6 3 2 5 3" xfId="8562" xr:uid="{00000000-0005-0000-0000-0000C22D0000}"/>
    <cellStyle name="Normal 6 3 2 6" xfId="3714" xr:uid="{00000000-0005-0000-0000-0000C32D0000}"/>
    <cellStyle name="Normal 6 3 2 6 2" xfId="9466" xr:uid="{00000000-0005-0000-0000-0000C42D0000}"/>
    <cellStyle name="Normal 6 3 2 7" xfId="6808" xr:uid="{00000000-0005-0000-0000-0000C52D0000}"/>
    <cellStyle name="Normal 6 3 3" xfId="494" xr:uid="{00000000-0005-0000-0000-0000C62D0000}"/>
    <cellStyle name="Normal 6 3 3 2" xfId="1181" xr:uid="{00000000-0005-0000-0000-0000C72D0000}"/>
    <cellStyle name="Normal 6 3 3 2 2" xfId="2229" xr:uid="{00000000-0005-0000-0000-0000C82D0000}"/>
    <cellStyle name="Normal 6 3 3 2 2 2" xfId="5576" xr:uid="{00000000-0005-0000-0000-0000C92D0000}"/>
    <cellStyle name="Normal 6 3 3 2 2 2 2" xfId="10890" xr:uid="{00000000-0005-0000-0000-0000CA2D0000}"/>
    <cellStyle name="Normal 6 3 3 2 2 3" xfId="8232" xr:uid="{00000000-0005-0000-0000-0000CB2D0000}"/>
    <cellStyle name="Normal 6 3 3 2 3" xfId="3150" xr:uid="{00000000-0005-0000-0000-0000CC2D0000}"/>
    <cellStyle name="Normal 6 3 3 2 3 2" xfId="6453" xr:uid="{00000000-0005-0000-0000-0000CD2D0000}"/>
    <cellStyle name="Normal 6 3 3 2 3 2 2" xfId="11767" xr:uid="{00000000-0005-0000-0000-0000CE2D0000}"/>
    <cellStyle name="Normal 6 3 3 2 3 3" xfId="9109" xr:uid="{00000000-0005-0000-0000-0000CF2D0000}"/>
    <cellStyle name="Normal 6 3 3 2 4" xfId="4573" xr:uid="{00000000-0005-0000-0000-0000D02D0000}"/>
    <cellStyle name="Normal 6 3 3 2 4 2" xfId="10013" xr:uid="{00000000-0005-0000-0000-0000D12D0000}"/>
    <cellStyle name="Normal 6 3 3 2 5" xfId="7355" xr:uid="{00000000-0005-0000-0000-0000D22D0000}"/>
    <cellStyle name="Normal 6 3 3 3" xfId="1791" xr:uid="{00000000-0005-0000-0000-0000D32D0000}"/>
    <cellStyle name="Normal 6 3 3 3 2" xfId="5140" xr:uid="{00000000-0005-0000-0000-0000D42D0000}"/>
    <cellStyle name="Normal 6 3 3 3 2 2" xfId="10454" xr:uid="{00000000-0005-0000-0000-0000D52D0000}"/>
    <cellStyle name="Normal 6 3 3 3 3" xfId="7796" xr:uid="{00000000-0005-0000-0000-0000D62D0000}"/>
    <cellStyle name="Normal 6 3 3 4" xfId="2712" xr:uid="{00000000-0005-0000-0000-0000D72D0000}"/>
    <cellStyle name="Normal 6 3 3 4 2" xfId="6017" xr:uid="{00000000-0005-0000-0000-0000D82D0000}"/>
    <cellStyle name="Normal 6 3 3 4 2 2" xfId="11331" xr:uid="{00000000-0005-0000-0000-0000D92D0000}"/>
    <cellStyle name="Normal 6 3 3 4 3" xfId="8673" xr:uid="{00000000-0005-0000-0000-0000DA2D0000}"/>
    <cellStyle name="Normal 6 3 3 5" xfId="3888" xr:uid="{00000000-0005-0000-0000-0000DB2D0000}"/>
    <cellStyle name="Normal 6 3 3 5 2" xfId="9577" xr:uid="{00000000-0005-0000-0000-0000DC2D0000}"/>
    <cellStyle name="Normal 6 3 3 6" xfId="6919" xr:uid="{00000000-0005-0000-0000-0000DD2D0000}"/>
    <cellStyle name="Normal 6 3 4" xfId="859" xr:uid="{00000000-0005-0000-0000-0000DE2D0000}"/>
    <cellStyle name="Normal 6 3 4 2" xfId="2029" xr:uid="{00000000-0005-0000-0000-0000DF2D0000}"/>
    <cellStyle name="Normal 6 3 4 2 2" xfId="5376" xr:uid="{00000000-0005-0000-0000-0000E02D0000}"/>
    <cellStyle name="Normal 6 3 4 2 2 2" xfId="10690" xr:uid="{00000000-0005-0000-0000-0000E12D0000}"/>
    <cellStyle name="Normal 6 3 4 2 3" xfId="8032" xr:uid="{00000000-0005-0000-0000-0000E22D0000}"/>
    <cellStyle name="Normal 6 3 4 3" xfId="2950" xr:uid="{00000000-0005-0000-0000-0000E32D0000}"/>
    <cellStyle name="Normal 6 3 4 3 2" xfId="6253" xr:uid="{00000000-0005-0000-0000-0000E42D0000}"/>
    <cellStyle name="Normal 6 3 4 3 2 2" xfId="11567" xr:uid="{00000000-0005-0000-0000-0000E52D0000}"/>
    <cellStyle name="Normal 6 3 4 3 3" xfId="8909" xr:uid="{00000000-0005-0000-0000-0000E62D0000}"/>
    <cellStyle name="Normal 6 3 4 4" xfId="4251" xr:uid="{00000000-0005-0000-0000-0000E72D0000}"/>
    <cellStyle name="Normal 6 3 4 4 2" xfId="9813" xr:uid="{00000000-0005-0000-0000-0000E82D0000}"/>
    <cellStyle name="Normal 6 3 4 5" xfId="7155" xr:uid="{00000000-0005-0000-0000-0000E92D0000}"/>
    <cellStyle name="Normal 6 3 5" xfId="1584" xr:uid="{00000000-0005-0000-0000-0000EA2D0000}"/>
    <cellStyle name="Normal 6 3 5 2" xfId="4940" xr:uid="{00000000-0005-0000-0000-0000EB2D0000}"/>
    <cellStyle name="Normal 6 3 5 2 2" xfId="10254" xr:uid="{00000000-0005-0000-0000-0000EC2D0000}"/>
    <cellStyle name="Normal 6 3 5 3" xfId="7596" xr:uid="{00000000-0005-0000-0000-0000ED2D0000}"/>
    <cellStyle name="Normal 6 3 6" xfId="2506" xr:uid="{00000000-0005-0000-0000-0000EE2D0000}"/>
    <cellStyle name="Normal 6 3 6 2" xfId="5817" xr:uid="{00000000-0005-0000-0000-0000EF2D0000}"/>
    <cellStyle name="Normal 6 3 6 2 2" xfId="11131" xr:uid="{00000000-0005-0000-0000-0000F02D0000}"/>
    <cellStyle name="Normal 6 3 6 3" xfId="8473" xr:uid="{00000000-0005-0000-0000-0000F12D0000}"/>
    <cellStyle name="Normal 6 3 7" xfId="3566" xr:uid="{00000000-0005-0000-0000-0000F22D0000}"/>
    <cellStyle name="Normal 6 3 7 2" xfId="9377" xr:uid="{00000000-0005-0000-0000-0000F32D0000}"/>
    <cellStyle name="Normal 6 3 8" xfId="6714" xr:uid="{00000000-0005-0000-0000-0000F42D0000}"/>
    <cellStyle name="Normal 6 4" xfId="203" xr:uid="{00000000-0005-0000-0000-0000F52D0000}"/>
    <cellStyle name="Normal 6 4 2" xfId="398" xr:uid="{00000000-0005-0000-0000-0000F62D0000}"/>
    <cellStyle name="Normal 6 4 2 2" xfId="721" xr:uid="{00000000-0005-0000-0000-0000F72D0000}"/>
    <cellStyle name="Normal 6 4 2 2 2" xfId="1408" xr:uid="{00000000-0005-0000-0000-0000F82D0000}"/>
    <cellStyle name="Normal 6 4 2 2 2 2" xfId="2340" xr:uid="{00000000-0005-0000-0000-0000F92D0000}"/>
    <cellStyle name="Normal 6 4 2 2 2 2 2" xfId="5687" xr:uid="{00000000-0005-0000-0000-0000FA2D0000}"/>
    <cellStyle name="Normal 6 4 2 2 2 2 2 2" xfId="11001" xr:uid="{00000000-0005-0000-0000-0000FB2D0000}"/>
    <cellStyle name="Normal 6 4 2 2 2 2 3" xfId="8343" xr:uid="{00000000-0005-0000-0000-0000FC2D0000}"/>
    <cellStyle name="Normal 6 4 2 2 2 3" xfId="3261" xr:uid="{00000000-0005-0000-0000-0000FD2D0000}"/>
    <cellStyle name="Normal 6 4 2 2 2 3 2" xfId="6564" xr:uid="{00000000-0005-0000-0000-0000FE2D0000}"/>
    <cellStyle name="Normal 6 4 2 2 2 3 2 2" xfId="11878" xr:uid="{00000000-0005-0000-0000-0000FF2D0000}"/>
    <cellStyle name="Normal 6 4 2 2 2 3 3" xfId="9220" xr:uid="{00000000-0005-0000-0000-0000002E0000}"/>
    <cellStyle name="Normal 6 4 2 2 2 4" xfId="4800" xr:uid="{00000000-0005-0000-0000-0000012E0000}"/>
    <cellStyle name="Normal 6 4 2 2 2 4 2" xfId="10124" xr:uid="{00000000-0005-0000-0000-0000022E0000}"/>
    <cellStyle name="Normal 6 4 2 2 2 5" xfId="7466" xr:uid="{00000000-0005-0000-0000-0000032E0000}"/>
    <cellStyle name="Normal 6 4 2 2 3" xfId="1902" xr:uid="{00000000-0005-0000-0000-0000042E0000}"/>
    <cellStyle name="Normal 6 4 2 2 3 2" xfId="5251" xr:uid="{00000000-0005-0000-0000-0000052E0000}"/>
    <cellStyle name="Normal 6 4 2 2 3 2 2" xfId="10565" xr:uid="{00000000-0005-0000-0000-0000062E0000}"/>
    <cellStyle name="Normal 6 4 2 2 3 3" xfId="7907" xr:uid="{00000000-0005-0000-0000-0000072E0000}"/>
    <cellStyle name="Normal 6 4 2 2 4" xfId="2823" xr:uid="{00000000-0005-0000-0000-0000082E0000}"/>
    <cellStyle name="Normal 6 4 2 2 4 2" xfId="6128" xr:uid="{00000000-0005-0000-0000-0000092E0000}"/>
    <cellStyle name="Normal 6 4 2 2 4 2 2" xfId="11442" xr:uid="{00000000-0005-0000-0000-00000A2E0000}"/>
    <cellStyle name="Normal 6 4 2 2 4 3" xfId="8784" xr:uid="{00000000-0005-0000-0000-00000B2E0000}"/>
    <cellStyle name="Normal 6 4 2 2 5" xfId="4115" xr:uid="{00000000-0005-0000-0000-00000C2E0000}"/>
    <cellStyle name="Normal 6 4 2 2 5 2" xfId="9688" xr:uid="{00000000-0005-0000-0000-00000D2E0000}"/>
    <cellStyle name="Normal 6 4 2 2 6" xfId="7030" xr:uid="{00000000-0005-0000-0000-00000E2E0000}"/>
    <cellStyle name="Normal 6 4 2 3" xfId="1086" xr:uid="{00000000-0005-0000-0000-00000F2E0000}"/>
    <cellStyle name="Normal 6 4 2 3 2" xfId="2140" xr:uid="{00000000-0005-0000-0000-0000102E0000}"/>
    <cellStyle name="Normal 6 4 2 3 2 2" xfId="5487" xr:uid="{00000000-0005-0000-0000-0000112E0000}"/>
    <cellStyle name="Normal 6 4 2 3 2 2 2" xfId="10801" xr:uid="{00000000-0005-0000-0000-0000122E0000}"/>
    <cellStyle name="Normal 6 4 2 3 2 3" xfId="8143" xr:uid="{00000000-0005-0000-0000-0000132E0000}"/>
    <cellStyle name="Normal 6 4 2 3 3" xfId="3061" xr:uid="{00000000-0005-0000-0000-0000142E0000}"/>
    <cellStyle name="Normal 6 4 2 3 3 2" xfId="6364" xr:uid="{00000000-0005-0000-0000-0000152E0000}"/>
    <cellStyle name="Normal 6 4 2 3 3 2 2" xfId="11678" xr:uid="{00000000-0005-0000-0000-0000162E0000}"/>
    <cellStyle name="Normal 6 4 2 3 3 3" xfId="9020" xr:uid="{00000000-0005-0000-0000-0000172E0000}"/>
    <cellStyle name="Normal 6 4 2 3 4" xfId="4478" xr:uid="{00000000-0005-0000-0000-0000182E0000}"/>
    <cellStyle name="Normal 6 4 2 3 4 2" xfId="9924" xr:uid="{00000000-0005-0000-0000-0000192E0000}"/>
    <cellStyle name="Normal 6 4 2 3 5" xfId="7266" xr:uid="{00000000-0005-0000-0000-00001A2E0000}"/>
    <cellStyle name="Normal 6 4 2 4" xfId="1702" xr:uid="{00000000-0005-0000-0000-00001B2E0000}"/>
    <cellStyle name="Normal 6 4 2 4 2" xfId="5051" xr:uid="{00000000-0005-0000-0000-00001C2E0000}"/>
    <cellStyle name="Normal 6 4 2 4 2 2" xfId="10365" xr:uid="{00000000-0005-0000-0000-00001D2E0000}"/>
    <cellStyle name="Normal 6 4 2 4 3" xfId="7707" xr:uid="{00000000-0005-0000-0000-00001E2E0000}"/>
    <cellStyle name="Normal 6 4 2 5" xfId="2623" xr:uid="{00000000-0005-0000-0000-00001F2E0000}"/>
    <cellStyle name="Normal 6 4 2 5 2" xfId="5928" xr:uid="{00000000-0005-0000-0000-0000202E0000}"/>
    <cellStyle name="Normal 6 4 2 5 2 2" xfId="11242" xr:uid="{00000000-0005-0000-0000-0000212E0000}"/>
    <cellStyle name="Normal 6 4 2 5 3" xfId="8584" xr:uid="{00000000-0005-0000-0000-0000222E0000}"/>
    <cellStyle name="Normal 6 4 2 6" xfId="3793" xr:uid="{00000000-0005-0000-0000-0000232E0000}"/>
    <cellStyle name="Normal 6 4 2 6 2" xfId="9488" xr:uid="{00000000-0005-0000-0000-0000242E0000}"/>
    <cellStyle name="Normal 6 4 2 7" xfId="6830" xr:uid="{00000000-0005-0000-0000-0000252E0000}"/>
    <cellStyle name="Normal 6 4 3" xfId="572" xr:uid="{00000000-0005-0000-0000-0000262E0000}"/>
    <cellStyle name="Normal 6 4 3 2" xfId="1259" xr:uid="{00000000-0005-0000-0000-0000272E0000}"/>
    <cellStyle name="Normal 6 4 3 2 2" xfId="2251" xr:uid="{00000000-0005-0000-0000-0000282E0000}"/>
    <cellStyle name="Normal 6 4 3 2 2 2" xfId="5598" xr:uid="{00000000-0005-0000-0000-0000292E0000}"/>
    <cellStyle name="Normal 6 4 3 2 2 2 2" xfId="10912" xr:uid="{00000000-0005-0000-0000-00002A2E0000}"/>
    <cellStyle name="Normal 6 4 3 2 2 3" xfId="8254" xr:uid="{00000000-0005-0000-0000-00002B2E0000}"/>
    <cellStyle name="Normal 6 4 3 2 3" xfId="3172" xr:uid="{00000000-0005-0000-0000-00002C2E0000}"/>
    <cellStyle name="Normal 6 4 3 2 3 2" xfId="6475" xr:uid="{00000000-0005-0000-0000-00002D2E0000}"/>
    <cellStyle name="Normal 6 4 3 2 3 2 2" xfId="11789" xr:uid="{00000000-0005-0000-0000-00002E2E0000}"/>
    <cellStyle name="Normal 6 4 3 2 3 3" xfId="9131" xr:uid="{00000000-0005-0000-0000-00002F2E0000}"/>
    <cellStyle name="Normal 6 4 3 2 4" xfId="4651" xr:uid="{00000000-0005-0000-0000-0000302E0000}"/>
    <cellStyle name="Normal 6 4 3 2 4 2" xfId="10035" xr:uid="{00000000-0005-0000-0000-0000312E0000}"/>
    <cellStyle name="Normal 6 4 3 2 5" xfId="7377" xr:uid="{00000000-0005-0000-0000-0000322E0000}"/>
    <cellStyle name="Normal 6 4 3 3" xfId="1813" xr:uid="{00000000-0005-0000-0000-0000332E0000}"/>
    <cellStyle name="Normal 6 4 3 3 2" xfId="5162" xr:uid="{00000000-0005-0000-0000-0000342E0000}"/>
    <cellStyle name="Normal 6 4 3 3 2 2" xfId="10476" xr:uid="{00000000-0005-0000-0000-0000352E0000}"/>
    <cellStyle name="Normal 6 4 3 3 3" xfId="7818" xr:uid="{00000000-0005-0000-0000-0000362E0000}"/>
    <cellStyle name="Normal 6 4 3 4" xfId="2734" xr:uid="{00000000-0005-0000-0000-0000372E0000}"/>
    <cellStyle name="Normal 6 4 3 4 2" xfId="6039" xr:uid="{00000000-0005-0000-0000-0000382E0000}"/>
    <cellStyle name="Normal 6 4 3 4 2 2" xfId="11353" xr:uid="{00000000-0005-0000-0000-0000392E0000}"/>
    <cellStyle name="Normal 6 4 3 4 3" xfId="8695" xr:uid="{00000000-0005-0000-0000-00003A2E0000}"/>
    <cellStyle name="Normal 6 4 3 5" xfId="3966" xr:uid="{00000000-0005-0000-0000-00003B2E0000}"/>
    <cellStyle name="Normal 6 4 3 5 2" xfId="9599" xr:uid="{00000000-0005-0000-0000-00003C2E0000}"/>
    <cellStyle name="Normal 6 4 3 6" xfId="6941" xr:uid="{00000000-0005-0000-0000-00003D2E0000}"/>
    <cellStyle name="Normal 6 4 4" xfId="937" xr:uid="{00000000-0005-0000-0000-00003E2E0000}"/>
    <cellStyle name="Normal 6 4 4 2" xfId="2051" xr:uid="{00000000-0005-0000-0000-00003F2E0000}"/>
    <cellStyle name="Normal 6 4 4 2 2" xfId="5398" xr:uid="{00000000-0005-0000-0000-0000402E0000}"/>
    <cellStyle name="Normal 6 4 4 2 2 2" xfId="10712" xr:uid="{00000000-0005-0000-0000-0000412E0000}"/>
    <cellStyle name="Normal 6 4 4 2 3" xfId="8054" xr:uid="{00000000-0005-0000-0000-0000422E0000}"/>
    <cellStyle name="Normal 6 4 4 3" xfId="2972" xr:uid="{00000000-0005-0000-0000-0000432E0000}"/>
    <cellStyle name="Normal 6 4 4 3 2" xfId="6275" xr:uid="{00000000-0005-0000-0000-0000442E0000}"/>
    <cellStyle name="Normal 6 4 4 3 2 2" xfId="11589" xr:uid="{00000000-0005-0000-0000-0000452E0000}"/>
    <cellStyle name="Normal 6 4 4 3 3" xfId="8931" xr:uid="{00000000-0005-0000-0000-0000462E0000}"/>
    <cellStyle name="Normal 6 4 4 4" xfId="4329" xr:uid="{00000000-0005-0000-0000-0000472E0000}"/>
    <cellStyle name="Normal 6 4 4 4 2" xfId="9835" xr:uid="{00000000-0005-0000-0000-0000482E0000}"/>
    <cellStyle name="Normal 6 4 4 5" xfId="7177" xr:uid="{00000000-0005-0000-0000-0000492E0000}"/>
    <cellStyle name="Normal 6 4 5" xfId="1612" xr:uid="{00000000-0005-0000-0000-00004A2E0000}"/>
    <cellStyle name="Normal 6 4 5 2" xfId="4962" xr:uid="{00000000-0005-0000-0000-00004B2E0000}"/>
    <cellStyle name="Normal 6 4 5 2 2" xfId="10276" xr:uid="{00000000-0005-0000-0000-00004C2E0000}"/>
    <cellStyle name="Normal 6 4 5 3" xfId="7618" xr:uid="{00000000-0005-0000-0000-00004D2E0000}"/>
    <cellStyle name="Normal 6 4 6" xfId="2533" xr:uid="{00000000-0005-0000-0000-00004E2E0000}"/>
    <cellStyle name="Normal 6 4 6 2" xfId="5839" xr:uid="{00000000-0005-0000-0000-00004F2E0000}"/>
    <cellStyle name="Normal 6 4 6 2 2" xfId="11153" xr:uid="{00000000-0005-0000-0000-0000502E0000}"/>
    <cellStyle name="Normal 6 4 6 3" xfId="8495" xr:uid="{00000000-0005-0000-0000-0000512E0000}"/>
    <cellStyle name="Normal 6 4 7" xfId="3644" xr:uid="{00000000-0005-0000-0000-0000522E0000}"/>
    <cellStyle name="Normal 6 4 7 2" xfId="9399" xr:uid="{00000000-0005-0000-0000-0000532E0000}"/>
    <cellStyle name="Normal 6 4 8" xfId="6736" xr:uid="{00000000-0005-0000-0000-0000542E0000}"/>
    <cellStyle name="Normal 6 5" xfId="308" xr:uid="{00000000-0005-0000-0000-0000552E0000}"/>
    <cellStyle name="Normal 6 5 2" xfId="631" xr:uid="{00000000-0005-0000-0000-0000562E0000}"/>
    <cellStyle name="Normal 6 5 2 2" xfId="1318" xr:uid="{00000000-0005-0000-0000-0000572E0000}"/>
    <cellStyle name="Normal 6 5 2 2 2" xfId="2308" xr:uid="{00000000-0005-0000-0000-0000582E0000}"/>
    <cellStyle name="Normal 6 5 2 2 2 2" xfId="5655" xr:uid="{00000000-0005-0000-0000-0000592E0000}"/>
    <cellStyle name="Normal 6 5 2 2 2 2 2" xfId="10969" xr:uid="{00000000-0005-0000-0000-00005A2E0000}"/>
    <cellStyle name="Normal 6 5 2 2 2 3" xfId="8311" xr:uid="{00000000-0005-0000-0000-00005B2E0000}"/>
    <cellStyle name="Normal 6 5 2 2 3" xfId="3229" xr:uid="{00000000-0005-0000-0000-00005C2E0000}"/>
    <cellStyle name="Normal 6 5 2 2 3 2" xfId="6532" xr:uid="{00000000-0005-0000-0000-00005D2E0000}"/>
    <cellStyle name="Normal 6 5 2 2 3 2 2" xfId="11846" xr:uid="{00000000-0005-0000-0000-00005E2E0000}"/>
    <cellStyle name="Normal 6 5 2 2 3 3" xfId="9188" xr:uid="{00000000-0005-0000-0000-00005F2E0000}"/>
    <cellStyle name="Normal 6 5 2 2 4" xfId="4710" xr:uid="{00000000-0005-0000-0000-0000602E0000}"/>
    <cellStyle name="Normal 6 5 2 2 4 2" xfId="10092" xr:uid="{00000000-0005-0000-0000-0000612E0000}"/>
    <cellStyle name="Normal 6 5 2 2 5" xfId="7434" xr:uid="{00000000-0005-0000-0000-0000622E0000}"/>
    <cellStyle name="Normal 6 5 2 3" xfId="1870" xr:uid="{00000000-0005-0000-0000-0000632E0000}"/>
    <cellStyle name="Normal 6 5 2 3 2" xfId="5219" xr:uid="{00000000-0005-0000-0000-0000642E0000}"/>
    <cellStyle name="Normal 6 5 2 3 2 2" xfId="10533" xr:uid="{00000000-0005-0000-0000-0000652E0000}"/>
    <cellStyle name="Normal 6 5 2 3 3" xfId="7875" xr:uid="{00000000-0005-0000-0000-0000662E0000}"/>
    <cellStyle name="Normal 6 5 2 4" xfId="2791" xr:uid="{00000000-0005-0000-0000-0000672E0000}"/>
    <cellStyle name="Normal 6 5 2 4 2" xfId="6096" xr:uid="{00000000-0005-0000-0000-0000682E0000}"/>
    <cellStyle name="Normal 6 5 2 4 2 2" xfId="11410" xr:uid="{00000000-0005-0000-0000-0000692E0000}"/>
    <cellStyle name="Normal 6 5 2 4 3" xfId="8752" xr:uid="{00000000-0005-0000-0000-00006A2E0000}"/>
    <cellStyle name="Normal 6 5 2 5" xfId="4025" xr:uid="{00000000-0005-0000-0000-00006B2E0000}"/>
    <cellStyle name="Normal 6 5 2 5 2" xfId="9656" xr:uid="{00000000-0005-0000-0000-00006C2E0000}"/>
    <cellStyle name="Normal 6 5 2 6" xfId="6998" xr:uid="{00000000-0005-0000-0000-00006D2E0000}"/>
    <cellStyle name="Normal 6 5 3" xfId="996" xr:uid="{00000000-0005-0000-0000-00006E2E0000}"/>
    <cellStyle name="Normal 6 5 3 2" xfId="2108" xr:uid="{00000000-0005-0000-0000-00006F2E0000}"/>
    <cellStyle name="Normal 6 5 3 2 2" xfId="5455" xr:uid="{00000000-0005-0000-0000-0000702E0000}"/>
    <cellStyle name="Normal 6 5 3 2 2 2" xfId="10769" xr:uid="{00000000-0005-0000-0000-0000712E0000}"/>
    <cellStyle name="Normal 6 5 3 2 3" xfId="8111" xr:uid="{00000000-0005-0000-0000-0000722E0000}"/>
    <cellStyle name="Normal 6 5 3 3" xfId="3029" xr:uid="{00000000-0005-0000-0000-0000732E0000}"/>
    <cellStyle name="Normal 6 5 3 3 2" xfId="6332" xr:uid="{00000000-0005-0000-0000-0000742E0000}"/>
    <cellStyle name="Normal 6 5 3 3 2 2" xfId="11646" xr:uid="{00000000-0005-0000-0000-0000752E0000}"/>
    <cellStyle name="Normal 6 5 3 3 3" xfId="8988" xr:uid="{00000000-0005-0000-0000-0000762E0000}"/>
    <cellStyle name="Normal 6 5 3 4" xfId="4388" xr:uid="{00000000-0005-0000-0000-0000772E0000}"/>
    <cellStyle name="Normal 6 5 3 4 2" xfId="9892" xr:uid="{00000000-0005-0000-0000-0000782E0000}"/>
    <cellStyle name="Normal 6 5 3 5" xfId="7234" xr:uid="{00000000-0005-0000-0000-0000792E0000}"/>
    <cellStyle name="Normal 6 5 4" xfId="1670" xr:uid="{00000000-0005-0000-0000-00007A2E0000}"/>
    <cellStyle name="Normal 6 5 4 2" xfId="5019" xr:uid="{00000000-0005-0000-0000-00007B2E0000}"/>
    <cellStyle name="Normal 6 5 4 2 2" xfId="10333" xr:uid="{00000000-0005-0000-0000-00007C2E0000}"/>
    <cellStyle name="Normal 6 5 4 3" xfId="7675" xr:uid="{00000000-0005-0000-0000-00007D2E0000}"/>
    <cellStyle name="Normal 6 5 5" xfId="2591" xr:uid="{00000000-0005-0000-0000-00007E2E0000}"/>
    <cellStyle name="Normal 6 5 5 2" xfId="5896" xr:uid="{00000000-0005-0000-0000-00007F2E0000}"/>
    <cellStyle name="Normal 6 5 5 2 2" xfId="11210" xr:uid="{00000000-0005-0000-0000-0000802E0000}"/>
    <cellStyle name="Normal 6 5 5 3" xfId="8552" xr:uid="{00000000-0005-0000-0000-0000812E0000}"/>
    <cellStyle name="Normal 6 5 6" xfId="3703" xr:uid="{00000000-0005-0000-0000-0000822E0000}"/>
    <cellStyle name="Normal 6 5 6 2" xfId="9456" xr:uid="{00000000-0005-0000-0000-0000832E0000}"/>
    <cellStyle name="Normal 6 5 7" xfId="6798" xr:uid="{00000000-0005-0000-0000-0000842E0000}"/>
    <cellStyle name="Normal 6 6" xfId="483" xr:uid="{00000000-0005-0000-0000-0000852E0000}"/>
    <cellStyle name="Normal 6 6 2" xfId="1170" xr:uid="{00000000-0005-0000-0000-0000862E0000}"/>
    <cellStyle name="Normal 6 6 2 2" xfId="2219" xr:uid="{00000000-0005-0000-0000-0000872E0000}"/>
    <cellStyle name="Normal 6 6 2 2 2" xfId="5566" xr:uid="{00000000-0005-0000-0000-0000882E0000}"/>
    <cellStyle name="Normal 6 6 2 2 2 2" xfId="10880" xr:uid="{00000000-0005-0000-0000-0000892E0000}"/>
    <cellStyle name="Normal 6 6 2 2 3" xfId="8222" xr:uid="{00000000-0005-0000-0000-00008A2E0000}"/>
    <cellStyle name="Normal 6 6 2 3" xfId="3140" xr:uid="{00000000-0005-0000-0000-00008B2E0000}"/>
    <cellStyle name="Normal 6 6 2 3 2" xfId="6443" xr:uid="{00000000-0005-0000-0000-00008C2E0000}"/>
    <cellStyle name="Normal 6 6 2 3 2 2" xfId="11757" xr:uid="{00000000-0005-0000-0000-00008D2E0000}"/>
    <cellStyle name="Normal 6 6 2 3 3" xfId="9099" xr:uid="{00000000-0005-0000-0000-00008E2E0000}"/>
    <cellStyle name="Normal 6 6 2 4" xfId="4562" xr:uid="{00000000-0005-0000-0000-00008F2E0000}"/>
    <cellStyle name="Normal 6 6 2 4 2" xfId="10003" xr:uid="{00000000-0005-0000-0000-0000902E0000}"/>
    <cellStyle name="Normal 6 6 2 5" xfId="7345" xr:uid="{00000000-0005-0000-0000-0000912E0000}"/>
    <cellStyle name="Normal 6 6 3" xfId="1781" xr:uid="{00000000-0005-0000-0000-0000922E0000}"/>
    <cellStyle name="Normal 6 6 3 2" xfId="5130" xr:uid="{00000000-0005-0000-0000-0000932E0000}"/>
    <cellStyle name="Normal 6 6 3 2 2" xfId="10444" xr:uid="{00000000-0005-0000-0000-0000942E0000}"/>
    <cellStyle name="Normal 6 6 3 3" xfId="7786" xr:uid="{00000000-0005-0000-0000-0000952E0000}"/>
    <cellStyle name="Normal 6 6 4" xfId="2702" xr:uid="{00000000-0005-0000-0000-0000962E0000}"/>
    <cellStyle name="Normal 6 6 4 2" xfId="6007" xr:uid="{00000000-0005-0000-0000-0000972E0000}"/>
    <cellStyle name="Normal 6 6 4 2 2" xfId="11321" xr:uid="{00000000-0005-0000-0000-0000982E0000}"/>
    <cellStyle name="Normal 6 6 4 3" xfId="8663" xr:uid="{00000000-0005-0000-0000-0000992E0000}"/>
    <cellStyle name="Normal 6 6 5" xfId="3877" xr:uid="{00000000-0005-0000-0000-00009A2E0000}"/>
    <cellStyle name="Normal 6 6 5 2" xfId="9567" xr:uid="{00000000-0005-0000-0000-00009B2E0000}"/>
    <cellStyle name="Normal 6 6 6" xfId="6909" xr:uid="{00000000-0005-0000-0000-00009C2E0000}"/>
    <cellStyle name="Normal 6 7" xfId="848" xr:uid="{00000000-0005-0000-0000-00009D2E0000}"/>
    <cellStyle name="Normal 6 7 2" xfId="2019" xr:uid="{00000000-0005-0000-0000-00009E2E0000}"/>
    <cellStyle name="Normal 6 7 2 2" xfId="5366" xr:uid="{00000000-0005-0000-0000-00009F2E0000}"/>
    <cellStyle name="Normal 6 7 2 2 2" xfId="10680" xr:uid="{00000000-0005-0000-0000-0000A02E0000}"/>
    <cellStyle name="Normal 6 7 2 3" xfId="8022" xr:uid="{00000000-0005-0000-0000-0000A12E0000}"/>
    <cellStyle name="Normal 6 7 3" xfId="2940" xr:uid="{00000000-0005-0000-0000-0000A22E0000}"/>
    <cellStyle name="Normal 6 7 3 2" xfId="6243" xr:uid="{00000000-0005-0000-0000-0000A32E0000}"/>
    <cellStyle name="Normal 6 7 3 2 2" xfId="11557" xr:uid="{00000000-0005-0000-0000-0000A42E0000}"/>
    <cellStyle name="Normal 6 7 3 3" xfId="8899" xr:uid="{00000000-0005-0000-0000-0000A52E0000}"/>
    <cellStyle name="Normal 6 7 4" xfId="4240" xr:uid="{00000000-0005-0000-0000-0000A62E0000}"/>
    <cellStyle name="Normal 6 7 4 2" xfId="9803" xr:uid="{00000000-0005-0000-0000-0000A72E0000}"/>
    <cellStyle name="Normal 6 7 5" xfId="7145" xr:uid="{00000000-0005-0000-0000-0000A82E0000}"/>
    <cellStyle name="Normal 6 8" xfId="1542" xr:uid="{00000000-0005-0000-0000-0000A92E0000}"/>
    <cellStyle name="Normal 6 8 2" xfId="4930" xr:uid="{00000000-0005-0000-0000-0000AA2E0000}"/>
    <cellStyle name="Normal 6 8 2 2" xfId="10244" xr:uid="{00000000-0005-0000-0000-0000AB2E0000}"/>
    <cellStyle name="Normal 6 8 3" xfId="7586" xr:uid="{00000000-0005-0000-0000-0000AC2E0000}"/>
    <cellStyle name="Normal 6 9" xfId="2464" xr:uid="{00000000-0005-0000-0000-0000AD2E0000}"/>
    <cellStyle name="Normal 6 9 2" xfId="5807" xr:uid="{00000000-0005-0000-0000-0000AE2E0000}"/>
    <cellStyle name="Normal 6 9 2 2" xfId="11121" xr:uid="{00000000-0005-0000-0000-0000AF2E0000}"/>
    <cellStyle name="Normal 6 9 3" xfId="8463" xr:uid="{00000000-0005-0000-0000-0000B02E0000}"/>
    <cellStyle name="Normal 7" xfId="56" xr:uid="{00000000-0005-0000-0000-0000B12E0000}"/>
    <cellStyle name="Normal 7 2" xfId="3528" xr:uid="{00000000-0005-0000-0000-0000B22E0000}"/>
    <cellStyle name="Normal 8" xfId="57" xr:uid="{00000000-0005-0000-0000-0000B32E0000}"/>
    <cellStyle name="Normal 8 2" xfId="176" xr:uid="{00000000-0005-0000-0000-0000B42E0000}"/>
    <cellStyle name="Normal 8 2 2" xfId="3490" xr:uid="{00000000-0005-0000-0000-0000B52E0000}"/>
    <cellStyle name="Normal 8 3" xfId="175" xr:uid="{00000000-0005-0000-0000-0000B62E0000}"/>
    <cellStyle name="Normal 8 4" xfId="112" xr:uid="{00000000-0005-0000-0000-0000B72E0000}"/>
    <cellStyle name="Normal 85" xfId="3529" xr:uid="{00000000-0005-0000-0000-0000B82E0000}"/>
    <cellStyle name="Normal 85 2" xfId="9366" xr:uid="{00000000-0005-0000-0000-0000B92E0000}"/>
    <cellStyle name="Normal 9" xfId="58" xr:uid="{00000000-0005-0000-0000-0000BA2E0000}"/>
    <cellStyle name="Normal 9 2" xfId="178" xr:uid="{00000000-0005-0000-0000-0000BB2E0000}"/>
    <cellStyle name="Normal 9 3" xfId="177" xr:uid="{00000000-0005-0000-0000-0000BC2E0000}"/>
    <cellStyle name="Normal 9 4" xfId="113" xr:uid="{00000000-0005-0000-0000-0000BD2E0000}"/>
    <cellStyle name="Note 2" xfId="280" xr:uid="{00000000-0005-0000-0000-0000C12E0000}"/>
    <cellStyle name="Note 2 2" xfId="6775" xr:uid="{00000000-0005-0000-0000-0000C22E0000}"/>
    <cellStyle name="Output 2" xfId="281" xr:uid="{00000000-0005-0000-0000-0000C32E0000}"/>
    <cellStyle name="Output 2 2" xfId="6776" xr:uid="{00000000-0005-0000-0000-0000C42E0000}"/>
    <cellStyle name="paint" xfId="3482" xr:uid="{00000000-0005-0000-0000-0000C52E0000}"/>
    <cellStyle name="Percent [0]" xfId="3531" xr:uid="{00000000-0005-0000-0000-0000C62E0000}"/>
    <cellStyle name="Percent [00]" xfId="3463" xr:uid="{00000000-0005-0000-0000-0000C72E0000}"/>
    <cellStyle name="Percent [2]" xfId="3532" xr:uid="{00000000-0005-0000-0000-0000C82E0000}"/>
    <cellStyle name="Percent 2" xfId="3533" xr:uid="{00000000-0005-0000-0000-0000C92E0000}"/>
    <cellStyle name="Percent 3" xfId="3534" xr:uid="{00000000-0005-0000-0000-0000CA2E0000}"/>
    <cellStyle name="Percent 4" xfId="3395" xr:uid="{00000000-0005-0000-0000-0000CB2E0000}"/>
    <cellStyle name="Percent 5" xfId="12014" xr:uid="{63C0C463-7C75-4997-9DFB-81EDF9A5AF1C}"/>
    <cellStyle name="PrePop Currency (0)" xfId="3535" xr:uid="{00000000-0005-0000-0000-0000CC2E0000}"/>
    <cellStyle name="PrePop Currency (2)" xfId="3536" xr:uid="{00000000-0005-0000-0000-0000CD2E0000}"/>
    <cellStyle name="PrePop Units (0)" xfId="3537" xr:uid="{00000000-0005-0000-0000-0000CE2E0000}"/>
    <cellStyle name="PrePop Units (1)" xfId="3538" xr:uid="{00000000-0005-0000-0000-0000CF2E0000}"/>
    <cellStyle name="PrePop Units (2)" xfId="3539" xr:uid="{00000000-0005-0000-0000-0000D02E0000}"/>
    <cellStyle name="Standard_aktuell" xfId="3530" xr:uid="{00000000-0005-0000-0000-0000D12E0000}"/>
    <cellStyle name="Style 1" xfId="59" xr:uid="{00000000-0005-0000-0000-0000D22E0000}"/>
    <cellStyle name="Style 1 2" xfId="60" xr:uid="{00000000-0005-0000-0000-0000D32E0000}"/>
    <cellStyle name="Style 1 2 2" xfId="3485" xr:uid="{00000000-0005-0000-0000-0000D42E0000}"/>
    <cellStyle name="Style 1 2 3" xfId="3541" xr:uid="{00000000-0005-0000-0000-0000D52E0000}"/>
    <cellStyle name="Style 1 3" xfId="61" xr:uid="{00000000-0005-0000-0000-0000D62E0000}"/>
    <cellStyle name="Style 1 4" xfId="62" xr:uid="{00000000-0005-0000-0000-0000D72E0000}"/>
    <cellStyle name="Style 1 5" xfId="74" xr:uid="{00000000-0005-0000-0000-0000D82E0000}"/>
    <cellStyle name="Style 1 6" xfId="3540" xr:uid="{00000000-0005-0000-0000-0000D92E0000}"/>
    <cellStyle name="Text Indent A" xfId="3543" xr:uid="{00000000-0005-0000-0000-0000DA2E0000}"/>
    <cellStyle name="Text Indent B" xfId="3544" xr:uid="{00000000-0005-0000-0000-0000DB2E0000}"/>
    <cellStyle name="Text Indent C" xfId="3545" xr:uid="{00000000-0005-0000-0000-0000DC2E0000}"/>
    <cellStyle name="Title 2" xfId="282" xr:uid="{00000000-0005-0000-0000-0000DD2E0000}"/>
    <cellStyle name="Total 2" xfId="283" xr:uid="{00000000-0005-0000-0000-0000DE2E0000}"/>
    <cellStyle name="Total 2 2" xfId="6777" xr:uid="{00000000-0005-0000-0000-0000DF2E0000}"/>
    <cellStyle name="ultant" xfId="3546" xr:uid="{00000000-0005-0000-0000-0000E02E0000}"/>
    <cellStyle name="Warning Text 2" xfId="284" xr:uid="{00000000-0005-0000-0000-0000E12E0000}"/>
    <cellStyle name="쉼표 [0]_ML_Maintenance_Quo_060628" xfId="3402" xr:uid="{00000000-0005-0000-0000-0000E22E0000}"/>
    <cellStyle name="콤마 [0]_Book1" xfId="3547" xr:uid="{00000000-0005-0000-0000-0000E32E0000}"/>
    <cellStyle name="콤마_Book1" xfId="3548" xr:uid="{00000000-0005-0000-0000-0000E42E0000}"/>
    <cellStyle name="통화 [0]_9634매출 " xfId="3549" xr:uid="{00000000-0005-0000-0000-0000E52E0000}"/>
    <cellStyle name="통화_9634매출 " xfId="3550" xr:uid="{00000000-0005-0000-0000-0000E62E0000}"/>
    <cellStyle name="표준 2" xfId="63" xr:uid="{00000000-0005-0000-0000-0000E72E0000}"/>
    <cellStyle name="표준_0N-HANDLING " xfId="3551" xr:uid="{00000000-0005-0000-0000-0000E82E0000}"/>
    <cellStyle name="桁区切り [0.00]_laroux" xfId="3552" xr:uid="{00000000-0005-0000-0000-0000E92E0000}"/>
    <cellStyle name="桁区切り_laroux" xfId="3553" xr:uid="{00000000-0005-0000-0000-0000EA2E0000}"/>
    <cellStyle name="標準_94物件" xfId="3554" xr:uid="{00000000-0005-0000-0000-0000EB2E0000}"/>
    <cellStyle name="通貨 [0.00]_laroux" xfId="3447" xr:uid="{00000000-0005-0000-0000-0000EC2E0000}"/>
    <cellStyle name="通貨_laroux" xfId="3542" xr:uid="{00000000-0005-0000-0000-0000ED2E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9</xdr:row>
      <xdr:rowOff>304800</xdr:rowOff>
    </xdr:to>
    <xdr:sp macro="" textlink="">
      <xdr:nvSpPr>
        <xdr:cNvPr id="2" name="AutoShape 2" descr="Image result for Honda logo">
          <a:extLst>
            <a:ext uri="{FF2B5EF4-FFF2-40B4-BE49-F238E27FC236}">
              <a16:creationId xmlns:a16="http://schemas.microsoft.com/office/drawing/2014/main" id="{32DEEEB6-D17C-4455-A4E3-8D8EA6694D11}"/>
            </a:ext>
          </a:extLst>
        </xdr:cNvPr>
        <xdr:cNvSpPr>
          <a:spLocks noChangeAspect="1" noChangeArrowheads="1"/>
        </xdr:cNvSpPr>
      </xdr:nvSpPr>
      <xdr:spPr bwMode="auto">
        <a:xfrm>
          <a:off x="6042660" y="4564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xdr:row>
      <xdr:rowOff>0</xdr:rowOff>
    </xdr:from>
    <xdr:to>
      <xdr:col>4</xdr:col>
      <xdr:colOff>304800</xdr:colOff>
      <xdr:row>9</xdr:row>
      <xdr:rowOff>304800</xdr:rowOff>
    </xdr:to>
    <xdr:sp macro="" textlink="">
      <xdr:nvSpPr>
        <xdr:cNvPr id="5" name="AutoShape 1" descr="Disney Star - Wikipedia">
          <a:extLst>
            <a:ext uri="{FF2B5EF4-FFF2-40B4-BE49-F238E27FC236}">
              <a16:creationId xmlns:a16="http://schemas.microsoft.com/office/drawing/2014/main" id="{085C53FF-BF78-4B62-AE36-8A399D182584}"/>
            </a:ext>
          </a:extLst>
        </xdr:cNvPr>
        <xdr:cNvSpPr>
          <a:spLocks noChangeAspect="1" noChangeArrowheads="1"/>
        </xdr:cNvSpPr>
      </xdr:nvSpPr>
      <xdr:spPr bwMode="auto">
        <a:xfrm>
          <a:off x="12550140" y="4564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9</xdr:row>
      <xdr:rowOff>0</xdr:rowOff>
    </xdr:from>
    <xdr:ext cx="304800" cy="304800"/>
    <xdr:sp macro="" textlink="">
      <xdr:nvSpPr>
        <xdr:cNvPr id="7" name="AutoShape 2" descr="Image result for Honda logo">
          <a:extLst>
            <a:ext uri="{FF2B5EF4-FFF2-40B4-BE49-F238E27FC236}">
              <a16:creationId xmlns:a16="http://schemas.microsoft.com/office/drawing/2014/main" id="{C86C2638-2539-4B7C-A215-867CE1DAA3C1}"/>
            </a:ext>
          </a:extLst>
        </xdr:cNvPr>
        <xdr:cNvSpPr>
          <a:spLocks noChangeAspect="1" noChangeArrowheads="1"/>
        </xdr:cNvSpPr>
      </xdr:nvSpPr>
      <xdr:spPr bwMode="auto">
        <a:xfrm>
          <a:off x="8313420" y="4564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25</xdr:row>
      <xdr:rowOff>0</xdr:rowOff>
    </xdr:from>
    <xdr:ext cx="381000" cy="0"/>
    <xdr:pic>
      <xdr:nvPicPr>
        <xdr:cNvPr id="2" name="Picture 45">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62475" y="27660600"/>
          <a:ext cx="3810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25</xdr:row>
      <xdr:rowOff>0</xdr:rowOff>
    </xdr:from>
    <xdr:ext cx="381000" cy="0"/>
    <xdr:pic>
      <xdr:nvPicPr>
        <xdr:cNvPr id="3" name="Picture 45">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62475" y="27660600"/>
          <a:ext cx="3810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7</xdr:row>
      <xdr:rowOff>0</xdr:rowOff>
    </xdr:from>
    <xdr:ext cx="381000" cy="0"/>
    <xdr:pic>
      <xdr:nvPicPr>
        <xdr:cNvPr id="2" name="Picture 45">
          <a:extLst>
            <a:ext uri="{FF2B5EF4-FFF2-40B4-BE49-F238E27FC236}">
              <a16:creationId xmlns:a16="http://schemas.microsoft.com/office/drawing/2014/main" id="{B5C46290-D1A5-478B-9684-A6C93F628E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48200" y="14881860"/>
          <a:ext cx="3810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7</xdr:row>
      <xdr:rowOff>0</xdr:rowOff>
    </xdr:from>
    <xdr:ext cx="381000" cy="0"/>
    <xdr:pic>
      <xdr:nvPicPr>
        <xdr:cNvPr id="3" name="Picture 45">
          <a:extLst>
            <a:ext uri="{FF2B5EF4-FFF2-40B4-BE49-F238E27FC236}">
              <a16:creationId xmlns:a16="http://schemas.microsoft.com/office/drawing/2014/main" id="{D3D11A44-A94A-477C-B2D9-DAF08CF1CC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48200" y="14881860"/>
          <a:ext cx="3810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7</xdr:row>
      <xdr:rowOff>0</xdr:rowOff>
    </xdr:from>
    <xdr:ext cx="381000" cy="0"/>
    <xdr:pic>
      <xdr:nvPicPr>
        <xdr:cNvPr id="2" name="Picture 45">
          <a:extLst>
            <a:ext uri="{FF2B5EF4-FFF2-40B4-BE49-F238E27FC236}">
              <a16:creationId xmlns:a16="http://schemas.microsoft.com/office/drawing/2014/main" id="{51B9634C-BF9D-4379-94DC-1A948CBA90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48200" y="14881860"/>
          <a:ext cx="3810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7</xdr:row>
      <xdr:rowOff>0</xdr:rowOff>
    </xdr:from>
    <xdr:ext cx="381000" cy="0"/>
    <xdr:pic>
      <xdr:nvPicPr>
        <xdr:cNvPr id="3" name="Picture 45">
          <a:extLst>
            <a:ext uri="{FF2B5EF4-FFF2-40B4-BE49-F238E27FC236}">
              <a16:creationId xmlns:a16="http://schemas.microsoft.com/office/drawing/2014/main" id="{B710712D-7436-4FF0-B3A9-2E823110A8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48200" y="14881860"/>
          <a:ext cx="3810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ontract-aruna/public_aruna/Public_Aruna/contracts(ak)/Hyderabad/Mes/MES-SE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10.0.22.3/Data/noida%20shared/Users/Shailesh/AppData/Local/Microsoft/Windows/Temporary%20Internet%20Files/Content.Outlook/H7FHSFM8/ACTIS_07-03-201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Idream03/d/Documents%20and%20Settings/kezia/Local%20Settings/Temp/NiceQuotator(Ver%204.01%20-%20Jan%202006)%20Rev.5%20APAC%20Y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el_smg_shahid/Consultancy/Lor's%20Work%20Data/CIM%20Projects/Malaysia%20-%20%20Penang/Construction%20PG12/PG12_est_P0_R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10.0.22.3/Data/noida%20shared/SPE_08/Offers/Sept%2008/Addressable/SEW%2016090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10.0.22.3/Data/Users/God/Downloads/airtelretailstorerfprevisiongcvendor/Civil%20BOQ-%20R5-14th%20March%2020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abstrac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list"/>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ground"/>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 BOQ"/>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1-AV SYSTEM"/>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DE7A-4606-4004-9214-A266329882D9}">
  <sheetPr>
    <pageSetUpPr fitToPage="1"/>
  </sheetPr>
  <dimension ref="A1:AJ99"/>
  <sheetViews>
    <sheetView tabSelected="1" view="pageBreakPreview" topLeftCell="A17" zoomScale="70" zoomScaleNormal="70" zoomScaleSheetLayoutView="70" workbookViewId="0">
      <selection activeCell="D2" sqref="D2:E2"/>
    </sheetView>
  </sheetViews>
  <sheetFormatPr baseColWidth="10" defaultColWidth="9.1640625" defaultRowHeight="30" customHeight="1"/>
  <cols>
    <col min="1" max="1" width="5.1640625" style="74" customWidth="1"/>
    <col min="2" max="2" width="23.5" style="98" customWidth="1"/>
    <col min="3" max="3" width="51.5" style="98" customWidth="1"/>
    <col min="4" max="4" width="26.5" style="99" bestFit="1" customWidth="1"/>
    <col min="5" max="5" width="43.6640625" style="98" customWidth="1"/>
    <col min="6" max="36" width="9.1640625" style="74"/>
    <col min="37" max="16384" width="9.1640625" style="75"/>
  </cols>
  <sheetData>
    <row r="1" spans="2:5" ht="30" customHeight="1">
      <c r="B1" s="93"/>
      <c r="C1" s="93"/>
      <c r="D1" s="97"/>
      <c r="E1" s="93"/>
    </row>
    <row r="2" spans="2:5" ht="30" customHeight="1">
      <c r="B2" s="138"/>
      <c r="C2" s="138"/>
      <c r="D2" s="139"/>
      <c r="E2" s="139"/>
    </row>
    <row r="3" spans="2:5" ht="98" customHeight="1">
      <c r="B3" s="100"/>
      <c r="C3" s="101"/>
      <c r="D3" s="143"/>
      <c r="E3" s="143"/>
    </row>
    <row r="4" spans="2:5" ht="30" customHeight="1">
      <c r="B4" s="141"/>
      <c r="C4" s="141"/>
      <c r="D4" s="140"/>
      <c r="E4" s="141"/>
    </row>
    <row r="5" spans="2:5" ht="49" customHeight="1">
      <c r="B5" s="141"/>
      <c r="C5" s="141"/>
      <c r="D5" s="140"/>
      <c r="E5" s="141"/>
    </row>
    <row r="6" spans="2:5" ht="49" customHeight="1">
      <c r="B6" s="142"/>
      <c r="C6" s="142"/>
      <c r="D6" s="142"/>
      <c r="E6" s="142"/>
    </row>
    <row r="7" spans="2:5" ht="40" customHeight="1">
      <c r="B7" s="102" t="s">
        <v>82</v>
      </c>
      <c r="C7" s="85"/>
      <c r="D7" s="104" t="s">
        <v>78</v>
      </c>
      <c r="E7" s="104"/>
    </row>
    <row r="8" spans="2:5" ht="62" customHeight="1">
      <c r="B8" s="76" t="s">
        <v>81</v>
      </c>
      <c r="C8" s="77" t="s">
        <v>74</v>
      </c>
      <c r="D8" s="104" t="s">
        <v>79</v>
      </c>
      <c r="E8" s="104" t="s">
        <v>74</v>
      </c>
    </row>
    <row r="9" spans="2:5" ht="35" customHeight="1">
      <c r="B9" s="76" t="s">
        <v>80</v>
      </c>
      <c r="C9" s="78">
        <f>3455</f>
        <v>3455</v>
      </c>
      <c r="D9" s="104" t="s">
        <v>84</v>
      </c>
      <c r="E9" s="105">
        <v>4</v>
      </c>
    </row>
    <row r="10" spans="2:5" ht="30" customHeight="1">
      <c r="B10" s="90" t="s">
        <v>75</v>
      </c>
      <c r="C10" s="91" t="s">
        <v>65</v>
      </c>
      <c r="D10" s="103" t="s">
        <v>77</v>
      </c>
      <c r="E10" s="92" t="s">
        <v>64</v>
      </c>
    </row>
    <row r="11" spans="2:5" s="74" customFormat="1" ht="30" customHeight="1">
      <c r="B11" s="86">
        <v>1</v>
      </c>
      <c r="C11" s="87" t="s">
        <v>59</v>
      </c>
      <c r="D11" s="106">
        <f>'A_Dismanteling Works'!F10</f>
        <v>156340</v>
      </c>
      <c r="E11" s="88"/>
    </row>
    <row r="12" spans="2:5" s="74" customFormat="1" ht="30" customHeight="1">
      <c r="B12" s="86">
        <v>2</v>
      </c>
      <c r="C12" s="87" t="s">
        <v>23</v>
      </c>
      <c r="D12" s="106">
        <f>'B_Civil &amp; Interior Works'!F15</f>
        <v>1877898</v>
      </c>
      <c r="E12" s="88"/>
    </row>
    <row r="13" spans="2:5" s="74" customFormat="1" ht="30" customHeight="1">
      <c r="B13" s="86">
        <v>3</v>
      </c>
      <c r="C13" s="87" t="s">
        <v>60</v>
      </c>
      <c r="D13" s="106">
        <f>'C_HVAC Works'!F9</f>
        <v>152750</v>
      </c>
      <c r="E13" s="88"/>
    </row>
    <row r="14" spans="2:5" s="74" customFormat="1" ht="30" customHeight="1">
      <c r="B14" s="86">
        <v>4</v>
      </c>
      <c r="C14" s="87" t="s">
        <v>61</v>
      </c>
      <c r="D14" s="106">
        <f>'D_Appliances &amp; Furniture Works'!F9+'D_Appliances &amp; Furniture Works'!F20+'D_Appliances &amp; Furniture Works'!F25</f>
        <v>1724300</v>
      </c>
      <c r="E14" s="88"/>
    </row>
    <row r="15" spans="2:5" s="74" customFormat="1" ht="30" customHeight="1">
      <c r="B15" s="86">
        <v>5</v>
      </c>
      <c r="C15" s="87" t="s">
        <v>8</v>
      </c>
      <c r="D15" s="106">
        <f>'E_Electrical Works'!F7</f>
        <v>131290</v>
      </c>
      <c r="E15" s="88"/>
    </row>
    <row r="16" spans="2:5" s="74" customFormat="1" ht="30" customHeight="1">
      <c r="B16" s="86">
        <v>6</v>
      </c>
      <c r="C16" s="87" t="s">
        <v>53</v>
      </c>
      <c r="D16" s="106">
        <f>'F_Terrace Development Works'!F7</f>
        <v>286125</v>
      </c>
      <c r="E16" s="88"/>
    </row>
    <row r="17" spans="2:5" s="74" customFormat="1" ht="30" customHeight="1">
      <c r="B17" s="134" t="s">
        <v>76</v>
      </c>
      <c r="C17" s="135"/>
      <c r="D17" s="107">
        <f>SUM(D11:D16)</f>
        <v>4328703</v>
      </c>
      <c r="E17" s="89"/>
    </row>
    <row r="18" spans="2:5" s="74" customFormat="1" ht="30" customHeight="1">
      <c r="B18" s="96" t="s">
        <v>66</v>
      </c>
      <c r="C18" s="94"/>
      <c r="D18" s="95"/>
      <c r="E18" s="93"/>
    </row>
    <row r="19" spans="2:5" s="74" customFormat="1" ht="30" customHeight="1">
      <c r="B19" s="133" t="s">
        <v>67</v>
      </c>
      <c r="C19" s="133"/>
      <c r="D19" s="133"/>
      <c r="E19" s="93"/>
    </row>
    <row r="20" spans="2:5" s="74" customFormat="1" ht="30" customHeight="1">
      <c r="B20" s="96" t="s">
        <v>85</v>
      </c>
      <c r="C20" s="96"/>
      <c r="D20" s="96"/>
      <c r="E20" s="93"/>
    </row>
    <row r="21" spans="2:5" s="74" customFormat="1" ht="30" customHeight="1">
      <c r="B21" s="96"/>
      <c r="C21" s="96"/>
      <c r="D21" s="96"/>
      <c r="E21" s="93"/>
    </row>
    <row r="22" spans="2:5" s="74" customFormat="1" ht="30" customHeight="1">
      <c r="B22" s="79" t="s">
        <v>68</v>
      </c>
      <c r="C22" s="80" t="s">
        <v>69</v>
      </c>
      <c r="D22" s="132" t="s">
        <v>70</v>
      </c>
      <c r="E22" s="132"/>
    </row>
    <row r="23" spans="2:5" s="74" customFormat="1" ht="45" customHeight="1">
      <c r="B23" s="81">
        <v>1</v>
      </c>
      <c r="C23" s="82">
        <v>0.35</v>
      </c>
      <c r="D23" s="136" t="s">
        <v>71</v>
      </c>
      <c r="E23" s="136"/>
    </row>
    <row r="24" spans="2:5" s="74" customFormat="1" ht="55" customHeight="1">
      <c r="B24" s="81">
        <v>2</v>
      </c>
      <c r="C24" s="82">
        <v>0.55000000000000004</v>
      </c>
      <c r="D24" s="136" t="s">
        <v>83</v>
      </c>
      <c r="E24" s="136"/>
    </row>
    <row r="25" spans="2:5" s="74" customFormat="1" ht="30" customHeight="1">
      <c r="B25" s="81">
        <v>3</v>
      </c>
      <c r="C25" s="82">
        <v>0.1</v>
      </c>
      <c r="D25" s="137" t="s">
        <v>72</v>
      </c>
      <c r="E25" s="137"/>
    </row>
    <row r="26" spans="2:5" s="74" customFormat="1" ht="63">
      <c r="B26" s="83" t="s">
        <v>73</v>
      </c>
      <c r="C26" s="84">
        <f>SUM(C23:C25)</f>
        <v>1</v>
      </c>
      <c r="D26" s="132"/>
      <c r="E26" s="132"/>
    </row>
    <row r="27" spans="2:5" s="74" customFormat="1" ht="30" customHeight="1">
      <c r="B27" s="93"/>
      <c r="C27" s="93"/>
      <c r="D27" s="97"/>
      <c r="E27" s="93"/>
    </row>
    <row r="28" spans="2:5" s="74" customFormat="1" ht="30" customHeight="1">
      <c r="B28" s="93"/>
      <c r="C28" s="108"/>
      <c r="D28" s="97"/>
      <c r="E28" s="93"/>
    </row>
    <row r="29" spans="2:5" s="74" customFormat="1" ht="30" customHeight="1">
      <c r="B29" s="93"/>
      <c r="C29" s="93"/>
      <c r="D29" s="97"/>
      <c r="E29" s="93"/>
    </row>
    <row r="30" spans="2:5" s="74" customFormat="1" ht="30" customHeight="1">
      <c r="B30" s="93"/>
      <c r="C30" s="93"/>
      <c r="D30" s="97"/>
      <c r="E30" s="93"/>
    </row>
    <row r="31" spans="2:5" s="74" customFormat="1" ht="30" customHeight="1">
      <c r="B31" s="93"/>
      <c r="C31" s="93"/>
      <c r="D31" s="97"/>
      <c r="E31" s="93"/>
    </row>
    <row r="32" spans="2:5" s="74" customFormat="1" ht="30" customHeight="1">
      <c r="B32" s="93"/>
      <c r="C32" s="93"/>
      <c r="D32" s="97"/>
      <c r="E32" s="93"/>
    </row>
    <row r="33" spans="2:5" s="74" customFormat="1" ht="30" customHeight="1">
      <c r="B33" s="93"/>
      <c r="C33" s="93"/>
      <c r="D33" s="97"/>
      <c r="E33" s="93"/>
    </row>
    <row r="34" spans="2:5" s="74" customFormat="1" ht="30" customHeight="1">
      <c r="B34" s="93"/>
      <c r="C34" s="93"/>
      <c r="D34" s="97"/>
      <c r="E34" s="93"/>
    </row>
    <row r="35" spans="2:5" s="74" customFormat="1" ht="30" customHeight="1">
      <c r="B35" s="93"/>
      <c r="C35" s="93"/>
      <c r="D35" s="97"/>
      <c r="E35" s="93"/>
    </row>
    <row r="36" spans="2:5" s="74" customFormat="1" ht="30" customHeight="1">
      <c r="B36" s="93"/>
      <c r="C36" s="93"/>
      <c r="D36" s="97"/>
      <c r="E36" s="93"/>
    </row>
    <row r="37" spans="2:5" s="74" customFormat="1" ht="30" customHeight="1">
      <c r="B37" s="93"/>
      <c r="C37" s="93"/>
      <c r="D37" s="97"/>
      <c r="E37" s="93"/>
    </row>
    <row r="38" spans="2:5" s="74" customFormat="1" ht="30" customHeight="1">
      <c r="B38" s="93"/>
      <c r="C38" s="93"/>
      <c r="D38" s="97"/>
      <c r="E38" s="93"/>
    </row>
    <row r="39" spans="2:5" s="74" customFormat="1" ht="30" customHeight="1">
      <c r="B39" s="93"/>
      <c r="C39" s="93"/>
      <c r="D39" s="97"/>
      <c r="E39" s="93"/>
    </row>
    <row r="40" spans="2:5" s="74" customFormat="1" ht="30" customHeight="1">
      <c r="B40" s="93"/>
      <c r="C40" s="93"/>
      <c r="D40" s="97"/>
      <c r="E40" s="93"/>
    </row>
    <row r="41" spans="2:5" s="74" customFormat="1" ht="30" customHeight="1">
      <c r="B41" s="93"/>
      <c r="C41" s="93"/>
      <c r="D41" s="97"/>
      <c r="E41" s="93"/>
    </row>
    <row r="42" spans="2:5" s="74" customFormat="1" ht="30" customHeight="1">
      <c r="B42" s="93"/>
      <c r="C42" s="93"/>
      <c r="D42" s="97"/>
      <c r="E42" s="93"/>
    </row>
    <row r="43" spans="2:5" s="74" customFormat="1" ht="30" customHeight="1">
      <c r="B43" s="93"/>
      <c r="C43" s="93"/>
      <c r="D43" s="97"/>
      <c r="E43" s="93"/>
    </row>
    <row r="44" spans="2:5" s="74" customFormat="1" ht="30" customHeight="1">
      <c r="B44" s="93"/>
      <c r="C44" s="93"/>
      <c r="D44" s="97"/>
      <c r="E44" s="93"/>
    </row>
    <row r="45" spans="2:5" s="74" customFormat="1" ht="30" customHeight="1">
      <c r="B45" s="93"/>
      <c r="C45" s="93"/>
      <c r="D45" s="97"/>
      <c r="E45" s="93"/>
    </row>
    <row r="46" spans="2:5" s="74" customFormat="1" ht="30" customHeight="1">
      <c r="B46" s="93"/>
      <c r="C46" s="93"/>
      <c r="D46" s="97"/>
      <c r="E46" s="93"/>
    </row>
    <row r="47" spans="2:5" s="74" customFormat="1" ht="30" customHeight="1">
      <c r="B47" s="93"/>
      <c r="C47" s="93"/>
      <c r="D47" s="97"/>
      <c r="E47" s="93"/>
    </row>
    <row r="48" spans="2:5" s="74" customFormat="1" ht="30" customHeight="1">
      <c r="B48" s="93"/>
      <c r="C48" s="93"/>
      <c r="D48" s="97"/>
      <c r="E48" s="93"/>
    </row>
    <row r="49" spans="2:5" s="74" customFormat="1" ht="30" customHeight="1">
      <c r="B49" s="93"/>
      <c r="C49" s="93"/>
      <c r="D49" s="97"/>
      <c r="E49" s="93"/>
    </row>
    <row r="50" spans="2:5" s="74" customFormat="1" ht="30" customHeight="1">
      <c r="B50" s="93"/>
      <c r="C50" s="93"/>
      <c r="D50" s="97"/>
      <c r="E50" s="93"/>
    </row>
    <row r="51" spans="2:5" s="74" customFormat="1" ht="30" customHeight="1">
      <c r="B51" s="93"/>
      <c r="C51" s="93"/>
      <c r="D51" s="97"/>
      <c r="E51" s="93"/>
    </row>
    <row r="52" spans="2:5" s="74" customFormat="1" ht="30" customHeight="1">
      <c r="B52" s="93"/>
      <c r="C52" s="93"/>
      <c r="D52" s="97"/>
      <c r="E52" s="93"/>
    </row>
    <row r="53" spans="2:5" s="74" customFormat="1" ht="30" customHeight="1">
      <c r="B53" s="93"/>
      <c r="C53" s="93"/>
      <c r="D53" s="97"/>
      <c r="E53" s="93"/>
    </row>
    <row r="54" spans="2:5" s="74" customFormat="1" ht="30" customHeight="1">
      <c r="B54" s="93"/>
      <c r="C54" s="93"/>
      <c r="D54" s="97"/>
      <c r="E54" s="93"/>
    </row>
    <row r="55" spans="2:5" s="74" customFormat="1" ht="30" customHeight="1">
      <c r="B55" s="93"/>
      <c r="C55" s="93"/>
      <c r="D55" s="97"/>
      <c r="E55" s="93"/>
    </row>
    <row r="56" spans="2:5" s="74" customFormat="1" ht="30" customHeight="1">
      <c r="B56" s="93"/>
      <c r="C56" s="93"/>
      <c r="D56" s="97"/>
      <c r="E56" s="93"/>
    </row>
    <row r="57" spans="2:5" s="74" customFormat="1" ht="30" customHeight="1">
      <c r="B57" s="93"/>
      <c r="C57" s="93"/>
      <c r="D57" s="97"/>
      <c r="E57" s="93"/>
    </row>
    <row r="58" spans="2:5" s="74" customFormat="1" ht="30" customHeight="1">
      <c r="B58" s="93"/>
      <c r="C58" s="93"/>
      <c r="D58" s="97"/>
      <c r="E58" s="93"/>
    </row>
    <row r="59" spans="2:5" s="74" customFormat="1" ht="30" customHeight="1">
      <c r="B59" s="93"/>
      <c r="C59" s="93"/>
      <c r="D59" s="97"/>
      <c r="E59" s="93"/>
    </row>
    <row r="60" spans="2:5" s="74" customFormat="1" ht="30" customHeight="1">
      <c r="B60" s="93"/>
      <c r="C60" s="93"/>
      <c r="D60" s="97"/>
      <c r="E60" s="93"/>
    </row>
    <row r="61" spans="2:5" s="74" customFormat="1" ht="30" customHeight="1">
      <c r="B61" s="93"/>
      <c r="C61" s="93"/>
      <c r="D61" s="97"/>
      <c r="E61" s="93"/>
    </row>
    <row r="62" spans="2:5" s="74" customFormat="1" ht="30" customHeight="1">
      <c r="B62" s="93"/>
      <c r="C62" s="93"/>
      <c r="D62" s="97"/>
      <c r="E62" s="93"/>
    </row>
    <row r="63" spans="2:5" s="74" customFormat="1" ht="30" customHeight="1">
      <c r="B63" s="93"/>
      <c r="C63" s="93"/>
      <c r="D63" s="97"/>
      <c r="E63" s="93"/>
    </row>
    <row r="64" spans="2:5" s="74" customFormat="1" ht="30" customHeight="1">
      <c r="B64" s="93"/>
      <c r="C64" s="93"/>
      <c r="D64" s="97"/>
      <c r="E64" s="93"/>
    </row>
    <row r="65" spans="2:5" s="74" customFormat="1" ht="30" customHeight="1">
      <c r="B65" s="93"/>
      <c r="C65" s="93"/>
      <c r="D65" s="97"/>
      <c r="E65" s="93"/>
    </row>
    <row r="66" spans="2:5" s="74" customFormat="1" ht="30" customHeight="1">
      <c r="B66" s="93"/>
      <c r="C66" s="93"/>
      <c r="D66" s="97"/>
      <c r="E66" s="93"/>
    </row>
    <row r="67" spans="2:5" s="74" customFormat="1" ht="30" customHeight="1">
      <c r="B67" s="93"/>
      <c r="C67" s="93"/>
      <c r="D67" s="97"/>
      <c r="E67" s="93"/>
    </row>
    <row r="68" spans="2:5" s="74" customFormat="1" ht="30" customHeight="1">
      <c r="B68" s="93"/>
      <c r="C68" s="93"/>
      <c r="D68" s="97"/>
      <c r="E68" s="93"/>
    </row>
    <row r="69" spans="2:5" s="74" customFormat="1" ht="30" customHeight="1">
      <c r="B69" s="93"/>
      <c r="C69" s="93"/>
      <c r="D69" s="97"/>
      <c r="E69" s="93"/>
    </row>
    <row r="70" spans="2:5" s="74" customFormat="1" ht="30" customHeight="1">
      <c r="B70" s="93"/>
      <c r="C70" s="93"/>
      <c r="D70" s="97"/>
      <c r="E70" s="93"/>
    </row>
    <row r="71" spans="2:5" s="74" customFormat="1" ht="30" customHeight="1">
      <c r="B71" s="93"/>
      <c r="C71" s="93"/>
      <c r="D71" s="97"/>
      <c r="E71" s="93"/>
    </row>
    <row r="72" spans="2:5" s="74" customFormat="1" ht="30" customHeight="1">
      <c r="B72" s="93"/>
      <c r="C72" s="93"/>
      <c r="D72" s="97"/>
      <c r="E72" s="93"/>
    </row>
    <row r="73" spans="2:5" s="74" customFormat="1" ht="30" customHeight="1">
      <c r="B73" s="93"/>
      <c r="C73" s="93"/>
      <c r="D73" s="97"/>
      <c r="E73" s="93"/>
    </row>
    <row r="74" spans="2:5" s="74" customFormat="1" ht="30" customHeight="1">
      <c r="B74" s="93"/>
      <c r="C74" s="93"/>
      <c r="D74" s="97"/>
      <c r="E74" s="93"/>
    </row>
    <row r="75" spans="2:5" s="74" customFormat="1" ht="30" customHeight="1">
      <c r="B75" s="93"/>
      <c r="C75" s="93"/>
      <c r="D75" s="97"/>
      <c r="E75" s="93"/>
    </row>
    <row r="76" spans="2:5" s="74" customFormat="1" ht="30" customHeight="1">
      <c r="B76" s="93"/>
      <c r="C76" s="93"/>
      <c r="D76" s="97"/>
      <c r="E76" s="93"/>
    </row>
    <row r="77" spans="2:5" s="74" customFormat="1" ht="30" customHeight="1">
      <c r="B77" s="93"/>
      <c r="C77" s="93"/>
      <c r="D77" s="97"/>
      <c r="E77" s="93"/>
    </row>
    <row r="78" spans="2:5" s="74" customFormat="1" ht="30" customHeight="1">
      <c r="B78" s="93"/>
      <c r="C78" s="93"/>
      <c r="D78" s="97"/>
      <c r="E78" s="93"/>
    </row>
    <row r="79" spans="2:5" s="74" customFormat="1" ht="30" customHeight="1">
      <c r="B79" s="93"/>
      <c r="C79" s="93"/>
      <c r="D79" s="97"/>
      <c r="E79" s="93"/>
    </row>
    <row r="80" spans="2:5" s="74" customFormat="1" ht="30" customHeight="1">
      <c r="B80" s="93"/>
      <c r="C80" s="93"/>
      <c r="D80" s="97"/>
      <c r="E80" s="93"/>
    </row>
    <row r="81" spans="2:5" s="74" customFormat="1" ht="30" customHeight="1">
      <c r="B81" s="93"/>
      <c r="C81" s="93"/>
      <c r="D81" s="97"/>
      <c r="E81" s="93"/>
    </row>
    <row r="82" spans="2:5" s="74" customFormat="1" ht="30" customHeight="1">
      <c r="B82" s="93"/>
      <c r="C82" s="93"/>
      <c r="D82" s="97"/>
      <c r="E82" s="93"/>
    </row>
    <row r="83" spans="2:5" s="74" customFormat="1" ht="30" customHeight="1">
      <c r="B83" s="93"/>
      <c r="C83" s="93"/>
      <c r="D83" s="97"/>
      <c r="E83" s="93"/>
    </row>
    <row r="84" spans="2:5" s="74" customFormat="1" ht="30" customHeight="1">
      <c r="B84" s="93"/>
      <c r="C84" s="93"/>
      <c r="D84" s="97"/>
      <c r="E84" s="93"/>
    </row>
    <row r="85" spans="2:5" s="74" customFormat="1" ht="30" customHeight="1">
      <c r="B85" s="93"/>
      <c r="C85" s="93"/>
      <c r="D85" s="97"/>
      <c r="E85" s="93"/>
    </row>
    <row r="86" spans="2:5" s="74" customFormat="1" ht="30" customHeight="1">
      <c r="B86" s="93"/>
      <c r="C86" s="93"/>
      <c r="D86" s="97"/>
      <c r="E86" s="93"/>
    </row>
    <row r="87" spans="2:5" s="74" customFormat="1" ht="30" customHeight="1">
      <c r="B87" s="93"/>
      <c r="C87" s="93"/>
      <c r="D87" s="97"/>
      <c r="E87" s="93"/>
    </row>
    <row r="88" spans="2:5" s="74" customFormat="1" ht="30" customHeight="1">
      <c r="B88" s="93"/>
      <c r="C88" s="93"/>
      <c r="D88" s="97"/>
      <c r="E88" s="93"/>
    </row>
    <row r="89" spans="2:5" s="74" customFormat="1" ht="30" customHeight="1">
      <c r="B89" s="93"/>
      <c r="C89" s="93"/>
      <c r="D89" s="97"/>
      <c r="E89" s="93"/>
    </row>
    <row r="90" spans="2:5" s="74" customFormat="1" ht="30" customHeight="1">
      <c r="B90" s="93"/>
      <c r="C90" s="93"/>
      <c r="D90" s="97"/>
      <c r="E90" s="93"/>
    </row>
    <row r="91" spans="2:5" s="74" customFormat="1" ht="30" customHeight="1">
      <c r="B91" s="93"/>
      <c r="C91" s="93"/>
      <c r="D91" s="97"/>
      <c r="E91" s="93"/>
    </row>
    <row r="92" spans="2:5" s="74" customFormat="1" ht="30" customHeight="1">
      <c r="B92" s="93"/>
      <c r="C92" s="93"/>
      <c r="D92" s="97"/>
      <c r="E92" s="93"/>
    </row>
    <row r="93" spans="2:5" s="74" customFormat="1" ht="30" customHeight="1">
      <c r="B93" s="93"/>
      <c r="C93" s="93"/>
      <c r="D93" s="97"/>
      <c r="E93" s="93"/>
    </row>
    <row r="94" spans="2:5" s="74" customFormat="1" ht="30" customHeight="1">
      <c r="B94" s="93"/>
      <c r="C94" s="93"/>
      <c r="D94" s="97"/>
      <c r="E94" s="93"/>
    </row>
    <row r="95" spans="2:5" s="74" customFormat="1" ht="30" customHeight="1">
      <c r="B95" s="93"/>
      <c r="C95" s="93"/>
      <c r="D95" s="97"/>
      <c r="E95" s="93"/>
    </row>
    <row r="96" spans="2:5" s="74" customFormat="1" ht="30" customHeight="1">
      <c r="B96" s="93"/>
      <c r="C96" s="93"/>
      <c r="D96" s="97"/>
      <c r="E96" s="93"/>
    </row>
    <row r="97" spans="2:5" s="74" customFormat="1" ht="30" customHeight="1">
      <c r="B97" s="93"/>
      <c r="C97" s="93"/>
      <c r="D97" s="97"/>
      <c r="E97" s="93"/>
    </row>
    <row r="98" spans="2:5" s="74" customFormat="1" ht="30" customHeight="1">
      <c r="B98" s="93"/>
      <c r="C98" s="93"/>
      <c r="D98" s="97"/>
      <c r="E98" s="93"/>
    </row>
    <row r="99" spans="2:5" s="74" customFormat="1" ht="30" customHeight="1">
      <c r="B99" s="93"/>
      <c r="C99" s="93"/>
      <c r="D99" s="97"/>
      <c r="E99" s="93"/>
    </row>
  </sheetData>
  <mergeCells count="13">
    <mergeCell ref="B2:C2"/>
    <mergeCell ref="D2:E2"/>
    <mergeCell ref="D4:E5"/>
    <mergeCell ref="B6:E6"/>
    <mergeCell ref="D3:E3"/>
    <mergeCell ref="B4:C5"/>
    <mergeCell ref="D26:E26"/>
    <mergeCell ref="B19:D19"/>
    <mergeCell ref="B17:C17"/>
    <mergeCell ref="D22:E22"/>
    <mergeCell ref="D23:E23"/>
    <mergeCell ref="D24:E24"/>
    <mergeCell ref="D25:E25"/>
  </mergeCells>
  <pageMargins left="0.25" right="0.25" top="0.75" bottom="0.75" header="0.3" footer="0.3"/>
  <pageSetup scale="2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G10"/>
  <sheetViews>
    <sheetView showGridLines="0" view="pageBreakPreview" zoomScaleSheetLayoutView="100" workbookViewId="0">
      <selection activeCell="F10" sqref="F10"/>
    </sheetView>
  </sheetViews>
  <sheetFormatPr baseColWidth="10" defaultColWidth="7" defaultRowHeight="15"/>
  <cols>
    <col min="1" max="1" width="7.33203125" style="34" bestFit="1" customWidth="1"/>
    <col min="2" max="2" width="62.5" style="27" customWidth="1"/>
    <col min="3" max="3" width="10.1640625" style="34" customWidth="1"/>
    <col min="4" max="4" width="9.5" style="35" customWidth="1"/>
    <col min="5" max="5" width="9.1640625" style="35" customWidth="1"/>
    <col min="6" max="6" width="15.1640625" style="36" bestFit="1" customWidth="1"/>
    <col min="7" max="7" width="20.1640625" style="34" customWidth="1"/>
    <col min="8" max="8" width="7" style="27" customWidth="1"/>
    <col min="9" max="16384" width="7" style="27"/>
  </cols>
  <sheetData>
    <row r="2" spans="1:7" ht="21">
      <c r="A2" s="129" t="s">
        <v>86</v>
      </c>
      <c r="B2" s="130"/>
      <c r="C2" s="130"/>
      <c r="D2" s="130"/>
      <c r="E2" s="130"/>
      <c r="F2" s="130"/>
      <c r="G2" s="131"/>
    </row>
    <row r="3" spans="1:7" ht="19">
      <c r="A3" s="113" t="s">
        <v>9</v>
      </c>
      <c r="B3" s="114" t="s">
        <v>10</v>
      </c>
      <c r="C3" s="115" t="s">
        <v>1</v>
      </c>
      <c r="D3" s="116" t="s">
        <v>2</v>
      </c>
      <c r="E3" s="116" t="s">
        <v>5</v>
      </c>
      <c r="F3" s="117" t="s">
        <v>4</v>
      </c>
      <c r="G3" s="118" t="s">
        <v>13</v>
      </c>
    </row>
    <row r="4" spans="1:7" ht="20" customHeight="1">
      <c r="A4" s="33"/>
      <c r="B4" s="28" t="s">
        <v>15</v>
      </c>
      <c r="C4" s="30"/>
      <c r="D4" s="31"/>
      <c r="E4" s="31"/>
      <c r="F4" s="1"/>
      <c r="G4" s="32"/>
    </row>
    <row r="5" spans="1:7" ht="64">
      <c r="A5" s="33">
        <v>1</v>
      </c>
      <c r="B5" s="25" t="s">
        <v>16</v>
      </c>
      <c r="C5" s="24" t="s">
        <v>11</v>
      </c>
      <c r="D5" s="31">
        <v>38</v>
      </c>
      <c r="E5" s="31">
        <v>88</v>
      </c>
      <c r="F5" s="1">
        <f>E5*D5</f>
        <v>3344</v>
      </c>
      <c r="G5" s="32"/>
    </row>
    <row r="6" spans="1:7" ht="64">
      <c r="A6" s="33">
        <v>2</v>
      </c>
      <c r="B6" s="25" t="s">
        <v>17</v>
      </c>
      <c r="C6" s="24" t="s">
        <v>11</v>
      </c>
      <c r="D6" s="31">
        <v>32</v>
      </c>
      <c r="E6" s="31">
        <v>1796</v>
      </c>
      <c r="F6" s="1">
        <f t="shared" ref="F6:F9" si="0">E6*D6</f>
        <v>57472</v>
      </c>
      <c r="G6" s="32"/>
    </row>
    <row r="7" spans="1:7" ht="64">
      <c r="A7" s="33">
        <v>3</v>
      </c>
      <c r="B7" s="25" t="s">
        <v>18</v>
      </c>
      <c r="C7" s="24" t="s">
        <v>11</v>
      </c>
      <c r="D7" s="31">
        <v>54</v>
      </c>
      <c r="E7" s="31">
        <v>104</v>
      </c>
      <c r="F7" s="1">
        <f t="shared" si="0"/>
        <v>5616</v>
      </c>
      <c r="G7" s="32"/>
    </row>
    <row r="8" spans="1:7" ht="64">
      <c r="A8" s="33">
        <v>4</v>
      </c>
      <c r="B8" s="25" t="s">
        <v>19</v>
      </c>
      <c r="C8" s="23" t="s">
        <v>3</v>
      </c>
      <c r="D8" s="31">
        <v>2800</v>
      </c>
      <c r="E8" s="31">
        <v>1</v>
      </c>
      <c r="F8" s="1">
        <f t="shared" si="0"/>
        <v>2800</v>
      </c>
      <c r="G8" s="32"/>
    </row>
    <row r="9" spans="1:7" ht="64">
      <c r="A9" s="33">
        <v>5</v>
      </c>
      <c r="B9" s="25" t="s">
        <v>20</v>
      </c>
      <c r="C9" s="24" t="s">
        <v>11</v>
      </c>
      <c r="D9" s="31">
        <v>28</v>
      </c>
      <c r="E9" s="31">
        <f>3455-344</f>
        <v>3111</v>
      </c>
      <c r="F9" s="1">
        <f t="shared" si="0"/>
        <v>87108</v>
      </c>
      <c r="G9" s="32"/>
    </row>
    <row r="10" spans="1:7" ht="27" customHeight="1">
      <c r="A10" s="109"/>
      <c r="B10" s="110" t="s">
        <v>21</v>
      </c>
      <c r="C10" s="109"/>
      <c r="D10" s="111"/>
      <c r="E10" s="111"/>
      <c r="F10" s="112">
        <f>SUM(F5:F9)</f>
        <v>156340</v>
      </c>
      <c r="G10" s="109"/>
    </row>
  </sheetData>
  <mergeCells count="1">
    <mergeCell ref="A2:G2"/>
  </mergeCells>
  <pageMargins left="0.25" right="0.25" top="0.75" bottom="0.75" header="0.3" footer="0.3"/>
  <pageSetup scale="71" fitToHeight="0" orientation="portrait" r:id="rId1"/>
  <headerFooter>
    <oddFooter>&amp;CPublic &amp;"Arial,Regular"&amp;8&amp;K008000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ransitionEvaluation="1" transitionEntry="1">
    <pageSetUpPr fitToPage="1"/>
  </sheetPr>
  <dimension ref="A2:G2878"/>
  <sheetViews>
    <sheetView view="pageBreakPreview" zoomScale="80" zoomScaleNormal="80" zoomScaleSheetLayoutView="80" workbookViewId="0">
      <selection activeCell="D5" sqref="D5"/>
    </sheetView>
  </sheetViews>
  <sheetFormatPr baseColWidth="10" defaultColWidth="9.1640625" defaultRowHeight="16"/>
  <cols>
    <col min="1" max="1" width="8" style="14" customWidth="1"/>
    <col min="2" max="2" width="56" style="39" customWidth="1"/>
    <col min="3" max="3" width="7.83203125" style="2" customWidth="1"/>
    <col min="4" max="4" width="13" style="57" customWidth="1"/>
    <col min="5" max="5" width="14" style="58" bestFit="1" customWidth="1"/>
    <col min="6" max="6" width="19.5" style="59" bestFit="1" customWidth="1"/>
    <col min="7" max="7" width="31.5" style="3" customWidth="1"/>
    <col min="8" max="9" width="9.1640625" style="4"/>
    <col min="10" max="10" width="11.83203125" style="4" customWidth="1"/>
    <col min="11" max="11" width="10.5" style="4" bestFit="1" customWidth="1"/>
    <col min="12" max="16384" width="9.1640625" style="4"/>
  </cols>
  <sheetData>
    <row r="2" spans="1:7" s="27" customFormat="1" ht="21">
      <c r="A2" s="129" t="s">
        <v>23</v>
      </c>
      <c r="B2" s="130"/>
      <c r="C2" s="130"/>
      <c r="D2" s="130"/>
      <c r="E2" s="130"/>
      <c r="F2" s="130"/>
      <c r="G2" s="131"/>
    </row>
    <row r="3" spans="1:7" s="27" customFormat="1" ht="27" customHeight="1">
      <c r="A3" s="113" t="s">
        <v>9</v>
      </c>
      <c r="B3" s="114" t="s">
        <v>10</v>
      </c>
      <c r="C3" s="119" t="s">
        <v>1</v>
      </c>
      <c r="D3" s="116" t="s">
        <v>2</v>
      </c>
      <c r="E3" s="116" t="s">
        <v>5</v>
      </c>
      <c r="F3" s="117" t="s">
        <v>4</v>
      </c>
      <c r="G3" s="118" t="s">
        <v>13</v>
      </c>
    </row>
    <row r="4" spans="1:7" s="7" customFormat="1" ht="17">
      <c r="A4" s="63"/>
      <c r="B4" s="64" t="s">
        <v>23</v>
      </c>
      <c r="C4" s="65"/>
      <c r="D4" s="66"/>
      <c r="E4" s="51"/>
      <c r="F4" s="52"/>
      <c r="G4" s="6"/>
    </row>
    <row r="5" spans="1:7" s="11" customFormat="1" ht="128">
      <c r="A5" s="8">
        <v>1</v>
      </c>
      <c r="B5" s="25" t="s">
        <v>22</v>
      </c>
      <c r="C5" s="9" t="s">
        <v>11</v>
      </c>
      <c r="D5" s="48">
        <v>946</v>
      </c>
      <c r="E5" s="51">
        <v>168</v>
      </c>
      <c r="F5" s="52">
        <f>E5*D5</f>
        <v>158928</v>
      </c>
      <c r="G5" s="10"/>
    </row>
    <row r="6" spans="1:7" s="11" customFormat="1" ht="96">
      <c r="A6" s="8">
        <v>2</v>
      </c>
      <c r="B6" s="25" t="s">
        <v>98</v>
      </c>
      <c r="C6" s="9" t="s">
        <v>11</v>
      </c>
      <c r="D6" s="48">
        <v>360</v>
      </c>
      <c r="E6" s="51">
        <f>E5*2</f>
        <v>336</v>
      </c>
      <c r="F6" s="52">
        <f>E6*D6</f>
        <v>120960</v>
      </c>
      <c r="G6" s="10"/>
    </row>
    <row r="7" spans="1:7" s="11" customFormat="1" ht="192">
      <c r="A7" s="8">
        <v>3</v>
      </c>
      <c r="B7" s="25" t="s">
        <v>24</v>
      </c>
      <c r="C7" s="9" t="s">
        <v>11</v>
      </c>
      <c r="D7" s="48">
        <v>194</v>
      </c>
      <c r="E7" s="51">
        <v>1796</v>
      </c>
      <c r="F7" s="52">
        <f t="shared" ref="F7:F14" si="0">E7*D7</f>
        <v>348424</v>
      </c>
      <c r="G7" s="12"/>
    </row>
    <row r="8" spans="1:7" s="11" customFormat="1" ht="64">
      <c r="A8" s="8">
        <v>4</v>
      </c>
      <c r="B8" s="25" t="s">
        <v>25</v>
      </c>
      <c r="C8" s="37" t="s">
        <v>11</v>
      </c>
      <c r="D8" s="49">
        <v>34</v>
      </c>
      <c r="E8" s="53">
        <v>3137</v>
      </c>
      <c r="F8" s="54">
        <f t="shared" si="0"/>
        <v>106658</v>
      </c>
      <c r="G8" s="16"/>
    </row>
    <row r="9" spans="1:7" s="11" customFormat="1" ht="64">
      <c r="A9" s="8">
        <v>5</v>
      </c>
      <c r="B9" s="25" t="s">
        <v>26</v>
      </c>
      <c r="C9" s="29" t="s">
        <v>11</v>
      </c>
      <c r="D9" s="50">
        <v>40</v>
      </c>
      <c r="E9" s="55">
        <v>3137</v>
      </c>
      <c r="F9" s="56">
        <f t="shared" si="0"/>
        <v>125480</v>
      </c>
      <c r="G9" s="12"/>
    </row>
    <row r="10" spans="1:7" s="11" customFormat="1" ht="48">
      <c r="A10" s="8">
        <v>6</v>
      </c>
      <c r="B10" s="25" t="s">
        <v>27</v>
      </c>
      <c r="C10" s="13" t="s">
        <v>11</v>
      </c>
      <c r="D10" s="50">
        <v>44</v>
      </c>
      <c r="E10" s="55">
        <v>2245</v>
      </c>
      <c r="F10" s="56">
        <f t="shared" si="0"/>
        <v>98780</v>
      </c>
      <c r="G10" s="12"/>
    </row>
    <row r="11" spans="1:7" s="11" customFormat="1" ht="192">
      <c r="A11" s="8">
        <v>7</v>
      </c>
      <c r="B11" s="25" t="s">
        <v>90</v>
      </c>
      <c r="C11" s="15" t="s">
        <v>0</v>
      </c>
      <c r="D11" s="50">
        <v>33500</v>
      </c>
      <c r="E11" s="55">
        <v>1</v>
      </c>
      <c r="F11" s="56">
        <f t="shared" si="0"/>
        <v>33500</v>
      </c>
      <c r="G11" s="12"/>
    </row>
    <row r="12" spans="1:7" s="11" customFormat="1" ht="96">
      <c r="A12" s="8">
        <v>8</v>
      </c>
      <c r="B12" s="26" t="s">
        <v>28</v>
      </c>
      <c r="C12" s="15" t="s">
        <v>12</v>
      </c>
      <c r="D12" s="50">
        <v>3950</v>
      </c>
      <c r="E12" s="55">
        <v>48</v>
      </c>
      <c r="F12" s="56">
        <f t="shared" si="0"/>
        <v>189600</v>
      </c>
      <c r="G12" s="12"/>
    </row>
    <row r="13" spans="1:7" s="11" customFormat="1" ht="96">
      <c r="A13" s="8">
        <v>9</v>
      </c>
      <c r="B13" s="26" t="s">
        <v>29</v>
      </c>
      <c r="C13" s="15" t="s">
        <v>11</v>
      </c>
      <c r="D13" s="50">
        <v>264</v>
      </c>
      <c r="E13" s="55">
        <v>655</v>
      </c>
      <c r="F13" s="56">
        <f t="shared" si="0"/>
        <v>172920</v>
      </c>
      <c r="G13" s="12"/>
    </row>
    <row r="14" spans="1:7" s="11" customFormat="1" ht="96">
      <c r="A14" s="8">
        <v>10</v>
      </c>
      <c r="B14" s="26" t="s">
        <v>30</v>
      </c>
      <c r="C14" s="15" t="s">
        <v>11</v>
      </c>
      <c r="D14" s="50">
        <v>168</v>
      </c>
      <c r="E14" s="55">
        <v>3111</v>
      </c>
      <c r="F14" s="56">
        <f t="shared" si="0"/>
        <v>522648</v>
      </c>
      <c r="G14" s="12"/>
    </row>
    <row r="15" spans="1:7" s="11" customFormat="1" ht="36" customHeight="1">
      <c r="A15" s="109"/>
      <c r="B15" s="110" t="s">
        <v>31</v>
      </c>
      <c r="C15" s="109"/>
      <c r="D15" s="111"/>
      <c r="E15" s="111"/>
      <c r="F15" s="112">
        <f>SUM(F5:F14)</f>
        <v>1877898</v>
      </c>
      <c r="G15" s="109"/>
    </row>
    <row r="16" spans="1:7">
      <c r="D16" s="2"/>
      <c r="E16" s="2"/>
    </row>
    <row r="17" spans="2:5">
      <c r="B17" s="62"/>
      <c r="D17" s="2"/>
      <c r="E17" s="2"/>
    </row>
    <row r="18" spans="2:5">
      <c r="B18" s="61" t="s">
        <v>14</v>
      </c>
      <c r="D18" s="2"/>
      <c r="E18" s="2"/>
    </row>
    <row r="19" spans="2:5">
      <c r="D19" s="2"/>
      <c r="E19" s="2"/>
    </row>
    <row r="20" spans="2:5">
      <c r="D20" s="2"/>
      <c r="E20" s="2"/>
    </row>
    <row r="21" spans="2:5">
      <c r="D21" s="2"/>
      <c r="E21" s="2"/>
    </row>
    <row r="22" spans="2:5">
      <c r="D22" s="2"/>
      <c r="E22" s="2"/>
    </row>
    <row r="23" spans="2:5">
      <c r="D23" s="2"/>
      <c r="E23" s="2"/>
    </row>
    <row r="24" spans="2:5">
      <c r="D24" s="2"/>
      <c r="E24" s="2"/>
    </row>
    <row r="25" spans="2:5">
      <c r="D25" s="2"/>
      <c r="E25" s="2"/>
    </row>
    <row r="26" spans="2:5">
      <c r="D26" s="2"/>
      <c r="E26" s="2"/>
    </row>
    <row r="27" spans="2:5">
      <c r="D27" s="2"/>
      <c r="E27" s="2"/>
    </row>
    <row r="28" spans="2:5">
      <c r="D28" s="2"/>
      <c r="E28" s="2"/>
    </row>
    <row r="29" spans="2:5">
      <c r="D29" s="2"/>
      <c r="E29" s="2"/>
    </row>
    <row r="30" spans="2:5">
      <c r="D30" s="2"/>
      <c r="E30" s="2"/>
    </row>
    <row r="31" spans="2:5">
      <c r="D31" s="2"/>
      <c r="E31" s="2"/>
    </row>
    <row r="32" spans="2:5">
      <c r="D32" s="2"/>
      <c r="E32" s="2"/>
    </row>
    <row r="33" spans="4:5">
      <c r="D33" s="2"/>
      <c r="E33" s="2"/>
    </row>
    <row r="34" spans="4:5">
      <c r="D34" s="2"/>
      <c r="E34" s="2"/>
    </row>
    <row r="35" spans="4:5">
      <c r="D35" s="2"/>
      <c r="E35" s="2"/>
    </row>
    <row r="36" spans="4:5">
      <c r="D36" s="2"/>
      <c r="E36" s="2"/>
    </row>
    <row r="37" spans="4:5">
      <c r="D37" s="2"/>
      <c r="E37" s="2"/>
    </row>
    <row r="38" spans="4:5">
      <c r="D38" s="2"/>
      <c r="E38" s="2"/>
    </row>
    <row r="39" spans="4:5">
      <c r="D39" s="2"/>
      <c r="E39" s="2"/>
    </row>
    <row r="40" spans="4:5">
      <c r="D40" s="2"/>
      <c r="E40" s="2"/>
    </row>
    <row r="41" spans="4:5">
      <c r="D41" s="2"/>
      <c r="E41" s="2"/>
    </row>
    <row r="42" spans="4:5">
      <c r="D42" s="2"/>
      <c r="E42" s="2"/>
    </row>
    <row r="43" spans="4:5">
      <c r="D43" s="2"/>
      <c r="E43" s="2"/>
    </row>
    <row r="44" spans="4:5">
      <c r="D44" s="2"/>
      <c r="E44" s="2"/>
    </row>
    <row r="45" spans="4:5">
      <c r="D45" s="2"/>
      <c r="E45" s="2"/>
    </row>
    <row r="46" spans="4:5">
      <c r="D46" s="2"/>
      <c r="E46" s="2"/>
    </row>
    <row r="47" spans="4:5">
      <c r="D47" s="2"/>
      <c r="E47" s="2"/>
    </row>
    <row r="48" spans="4:5">
      <c r="D48" s="2"/>
      <c r="E48" s="2"/>
    </row>
    <row r="49" spans="4:5">
      <c r="D49" s="2"/>
      <c r="E49" s="2"/>
    </row>
    <row r="50" spans="4:5">
      <c r="D50" s="2"/>
      <c r="E50" s="2"/>
    </row>
    <row r="51" spans="4:5">
      <c r="D51" s="2"/>
      <c r="E51" s="2"/>
    </row>
    <row r="52" spans="4:5">
      <c r="D52" s="2"/>
      <c r="E52" s="2"/>
    </row>
    <row r="53" spans="4:5">
      <c r="D53" s="2"/>
      <c r="E53" s="2"/>
    </row>
    <row r="54" spans="4:5">
      <c r="D54" s="2"/>
      <c r="E54" s="2"/>
    </row>
    <row r="55" spans="4:5">
      <c r="D55" s="2"/>
      <c r="E55" s="2"/>
    </row>
    <row r="56" spans="4:5">
      <c r="D56" s="2"/>
      <c r="E56" s="2"/>
    </row>
    <row r="57" spans="4:5">
      <c r="D57" s="2"/>
      <c r="E57" s="2"/>
    </row>
    <row r="58" spans="4:5">
      <c r="D58" s="2"/>
      <c r="E58" s="2"/>
    </row>
    <row r="59" spans="4:5">
      <c r="D59" s="2"/>
      <c r="E59" s="2"/>
    </row>
    <row r="60" spans="4:5">
      <c r="D60" s="2"/>
      <c r="E60" s="2"/>
    </row>
    <row r="61" spans="4:5">
      <c r="D61" s="2"/>
      <c r="E61" s="2"/>
    </row>
    <row r="62" spans="4:5">
      <c r="D62" s="2"/>
      <c r="E62" s="2"/>
    </row>
    <row r="63" spans="4:5">
      <c r="D63" s="2"/>
      <c r="E63" s="2"/>
    </row>
    <row r="64" spans="4:5">
      <c r="D64" s="2"/>
      <c r="E64" s="2"/>
    </row>
    <row r="65" spans="4:5">
      <c r="D65" s="2"/>
      <c r="E65" s="2"/>
    </row>
    <row r="66" spans="4:5">
      <c r="D66" s="2"/>
      <c r="E66" s="2"/>
    </row>
    <row r="67" spans="4:5">
      <c r="D67" s="2"/>
      <c r="E67" s="2"/>
    </row>
    <row r="68" spans="4:5">
      <c r="D68" s="2"/>
      <c r="E68" s="2"/>
    </row>
    <row r="69" spans="4:5">
      <c r="D69" s="2"/>
      <c r="E69" s="2"/>
    </row>
    <row r="70" spans="4:5">
      <c r="D70" s="2"/>
      <c r="E70" s="2"/>
    </row>
    <row r="71" spans="4:5">
      <c r="D71" s="2"/>
      <c r="E71" s="2"/>
    </row>
    <row r="72" spans="4:5">
      <c r="D72" s="2"/>
      <c r="E72" s="2"/>
    </row>
    <row r="73" spans="4:5">
      <c r="D73" s="2"/>
      <c r="E73" s="2"/>
    </row>
    <row r="74" spans="4:5">
      <c r="D74" s="2"/>
      <c r="E74" s="2"/>
    </row>
    <row r="75" spans="4:5">
      <c r="D75" s="2"/>
      <c r="E75" s="2"/>
    </row>
    <row r="76" spans="4:5">
      <c r="D76" s="2"/>
      <c r="E76" s="2"/>
    </row>
    <row r="77" spans="4:5">
      <c r="D77" s="2"/>
      <c r="E77" s="2"/>
    </row>
    <row r="78" spans="4:5">
      <c r="D78" s="2"/>
      <c r="E78" s="2"/>
    </row>
    <row r="79" spans="4:5">
      <c r="D79" s="2"/>
      <c r="E79" s="2"/>
    </row>
    <row r="80" spans="4:5">
      <c r="D80" s="2"/>
      <c r="E80" s="2"/>
    </row>
    <row r="81" spans="4:5">
      <c r="D81" s="2"/>
      <c r="E81" s="2"/>
    </row>
    <row r="82" spans="4:5">
      <c r="D82" s="2"/>
      <c r="E82" s="2"/>
    </row>
    <row r="83" spans="4:5">
      <c r="D83" s="2"/>
      <c r="E83" s="2"/>
    </row>
    <row r="84" spans="4:5">
      <c r="D84" s="2"/>
      <c r="E84" s="2"/>
    </row>
    <row r="85" spans="4:5">
      <c r="D85" s="2"/>
      <c r="E85" s="2"/>
    </row>
    <row r="86" spans="4:5">
      <c r="D86" s="2"/>
      <c r="E86" s="2"/>
    </row>
    <row r="87" spans="4:5">
      <c r="D87" s="2"/>
      <c r="E87" s="2"/>
    </row>
    <row r="88" spans="4:5">
      <c r="D88" s="2"/>
      <c r="E88" s="2"/>
    </row>
    <row r="89" spans="4:5">
      <c r="D89" s="2"/>
      <c r="E89" s="2"/>
    </row>
    <row r="90" spans="4:5">
      <c r="D90" s="2"/>
      <c r="E90" s="2"/>
    </row>
    <row r="91" spans="4:5">
      <c r="D91" s="2"/>
      <c r="E91" s="2"/>
    </row>
    <row r="92" spans="4:5">
      <c r="D92" s="2"/>
      <c r="E92" s="2"/>
    </row>
    <row r="93" spans="4:5">
      <c r="D93" s="2"/>
      <c r="E93" s="2"/>
    </row>
    <row r="94" spans="4:5">
      <c r="D94" s="2"/>
      <c r="E94" s="2"/>
    </row>
    <row r="95" spans="4:5">
      <c r="D95" s="2"/>
      <c r="E95" s="2"/>
    </row>
    <row r="96" spans="4:5">
      <c r="D96" s="2"/>
      <c r="E96" s="2"/>
    </row>
    <row r="97" spans="4:5">
      <c r="D97" s="2"/>
      <c r="E97" s="2"/>
    </row>
    <row r="98" spans="4:5">
      <c r="D98" s="2"/>
      <c r="E98" s="2"/>
    </row>
    <row r="99" spans="4:5">
      <c r="D99" s="2"/>
      <c r="E99" s="2"/>
    </row>
    <row r="100" spans="4:5">
      <c r="D100" s="2"/>
      <c r="E100" s="2"/>
    </row>
    <row r="101" spans="4:5">
      <c r="D101" s="2"/>
      <c r="E101" s="2"/>
    </row>
    <row r="102" spans="4:5">
      <c r="D102" s="2"/>
      <c r="E102" s="2"/>
    </row>
    <row r="103" spans="4:5">
      <c r="D103" s="2"/>
      <c r="E103" s="2"/>
    </row>
    <row r="104" spans="4:5">
      <c r="D104" s="2"/>
      <c r="E104" s="2"/>
    </row>
    <row r="105" spans="4:5">
      <c r="D105" s="2"/>
      <c r="E105" s="2"/>
    </row>
    <row r="106" spans="4:5">
      <c r="D106" s="2"/>
      <c r="E106" s="2"/>
    </row>
    <row r="107" spans="4:5">
      <c r="D107" s="2"/>
      <c r="E107" s="2"/>
    </row>
    <row r="108" spans="4:5">
      <c r="D108" s="2"/>
      <c r="E108" s="2"/>
    </row>
    <row r="109" spans="4:5">
      <c r="D109" s="2"/>
      <c r="E109" s="2"/>
    </row>
    <row r="110" spans="4:5">
      <c r="D110" s="2"/>
      <c r="E110" s="2"/>
    </row>
    <row r="111" spans="4:5">
      <c r="D111" s="2"/>
      <c r="E111" s="2"/>
    </row>
    <row r="112" spans="4:5">
      <c r="D112" s="2"/>
      <c r="E112" s="2"/>
    </row>
    <row r="113" spans="4:5">
      <c r="D113" s="2"/>
      <c r="E113" s="2"/>
    </row>
    <row r="114" spans="4:5">
      <c r="D114" s="2"/>
      <c r="E114" s="2"/>
    </row>
    <row r="115" spans="4:5">
      <c r="D115" s="2"/>
      <c r="E115" s="2"/>
    </row>
    <row r="116" spans="4:5">
      <c r="D116" s="2"/>
      <c r="E116" s="2"/>
    </row>
    <row r="117" spans="4:5">
      <c r="D117" s="2"/>
      <c r="E117" s="2"/>
    </row>
    <row r="118" spans="4:5">
      <c r="D118" s="2"/>
      <c r="E118" s="2"/>
    </row>
    <row r="119" spans="4:5">
      <c r="D119" s="2"/>
      <c r="E119" s="2"/>
    </row>
    <row r="120" spans="4:5">
      <c r="D120" s="2"/>
      <c r="E120" s="2"/>
    </row>
    <row r="121" spans="4:5">
      <c r="D121" s="2"/>
      <c r="E121" s="2"/>
    </row>
    <row r="122" spans="4:5">
      <c r="D122" s="2"/>
      <c r="E122" s="2"/>
    </row>
    <row r="123" spans="4:5">
      <c r="D123" s="2"/>
      <c r="E123" s="2"/>
    </row>
    <row r="124" spans="4:5">
      <c r="D124" s="2"/>
      <c r="E124" s="2"/>
    </row>
    <row r="125" spans="4:5">
      <c r="D125" s="2"/>
      <c r="E125" s="2"/>
    </row>
    <row r="126" spans="4:5">
      <c r="D126" s="2"/>
      <c r="E126" s="2"/>
    </row>
    <row r="127" spans="4:5">
      <c r="D127" s="2"/>
      <c r="E127" s="2"/>
    </row>
    <row r="128" spans="4:5">
      <c r="D128" s="2"/>
      <c r="E128" s="2"/>
    </row>
    <row r="129" spans="4:5">
      <c r="D129" s="2"/>
      <c r="E129" s="2"/>
    </row>
    <row r="130" spans="4:5">
      <c r="D130" s="2"/>
      <c r="E130" s="2"/>
    </row>
    <row r="131" spans="4:5">
      <c r="D131" s="2"/>
      <c r="E131" s="2"/>
    </row>
    <row r="132" spans="4:5">
      <c r="D132" s="2"/>
      <c r="E132" s="2"/>
    </row>
    <row r="133" spans="4:5">
      <c r="D133" s="2"/>
      <c r="E133" s="2"/>
    </row>
    <row r="134" spans="4:5">
      <c r="D134" s="2"/>
      <c r="E134" s="2"/>
    </row>
    <row r="135" spans="4:5">
      <c r="D135" s="2"/>
      <c r="E135" s="2"/>
    </row>
    <row r="136" spans="4:5">
      <c r="D136" s="2"/>
      <c r="E136" s="2"/>
    </row>
    <row r="137" spans="4:5">
      <c r="D137" s="2"/>
      <c r="E137" s="2"/>
    </row>
    <row r="138" spans="4:5">
      <c r="D138" s="2"/>
      <c r="E138" s="2"/>
    </row>
    <row r="139" spans="4:5">
      <c r="D139" s="2"/>
      <c r="E139" s="2"/>
    </row>
    <row r="140" spans="4:5">
      <c r="D140" s="2"/>
      <c r="E140" s="2"/>
    </row>
    <row r="141" spans="4:5">
      <c r="D141" s="2"/>
      <c r="E141" s="2"/>
    </row>
    <row r="142" spans="4:5">
      <c r="D142" s="2"/>
      <c r="E142" s="2"/>
    </row>
    <row r="143" spans="4:5">
      <c r="D143" s="2"/>
      <c r="E143" s="2"/>
    </row>
    <row r="144" spans="4:5">
      <c r="D144" s="2"/>
      <c r="E144" s="2"/>
    </row>
    <row r="145" spans="4:5">
      <c r="D145" s="2"/>
      <c r="E145" s="2"/>
    </row>
    <row r="146" spans="4:5">
      <c r="D146" s="2"/>
      <c r="E146" s="2"/>
    </row>
    <row r="147" spans="4:5">
      <c r="D147" s="2"/>
      <c r="E147" s="2"/>
    </row>
    <row r="148" spans="4:5">
      <c r="D148" s="2"/>
      <c r="E148" s="2"/>
    </row>
    <row r="149" spans="4:5">
      <c r="D149" s="2"/>
      <c r="E149" s="2"/>
    </row>
    <row r="150" spans="4:5">
      <c r="D150" s="2"/>
      <c r="E150" s="2"/>
    </row>
    <row r="151" spans="4:5">
      <c r="D151" s="2"/>
      <c r="E151" s="2"/>
    </row>
    <row r="152" spans="4:5">
      <c r="D152" s="2"/>
      <c r="E152" s="2"/>
    </row>
    <row r="153" spans="4:5">
      <c r="D153" s="2"/>
      <c r="E153" s="2"/>
    </row>
    <row r="154" spans="4:5">
      <c r="D154" s="2"/>
      <c r="E154" s="2"/>
    </row>
    <row r="155" spans="4:5">
      <c r="D155" s="2"/>
      <c r="E155" s="2"/>
    </row>
    <row r="156" spans="4:5">
      <c r="D156" s="2"/>
      <c r="E156" s="2"/>
    </row>
    <row r="157" spans="4:5">
      <c r="D157" s="2"/>
      <c r="E157" s="2"/>
    </row>
    <row r="158" spans="4:5">
      <c r="D158" s="2"/>
      <c r="E158" s="2"/>
    </row>
    <row r="159" spans="4:5">
      <c r="D159" s="2"/>
      <c r="E159" s="2"/>
    </row>
    <row r="160" spans="4:5">
      <c r="D160" s="2"/>
      <c r="E160" s="2"/>
    </row>
    <row r="161" spans="4:5">
      <c r="D161" s="2"/>
      <c r="E161" s="2"/>
    </row>
    <row r="162" spans="4:5">
      <c r="D162" s="2"/>
      <c r="E162" s="2"/>
    </row>
    <row r="163" spans="4:5">
      <c r="D163" s="2"/>
      <c r="E163" s="2"/>
    </row>
    <row r="164" spans="4:5">
      <c r="D164" s="2"/>
      <c r="E164" s="2"/>
    </row>
    <row r="165" spans="4:5">
      <c r="D165" s="2"/>
      <c r="E165" s="2"/>
    </row>
    <row r="166" spans="4:5">
      <c r="D166" s="2"/>
      <c r="E166" s="2"/>
    </row>
    <row r="167" spans="4:5">
      <c r="D167" s="2"/>
      <c r="E167" s="2"/>
    </row>
    <row r="168" spans="4:5">
      <c r="D168" s="2"/>
      <c r="E168" s="2"/>
    </row>
    <row r="169" spans="4:5">
      <c r="D169" s="2"/>
      <c r="E169" s="2"/>
    </row>
    <row r="170" spans="4:5">
      <c r="D170" s="2"/>
      <c r="E170" s="2"/>
    </row>
    <row r="171" spans="4:5">
      <c r="D171" s="2"/>
      <c r="E171" s="2"/>
    </row>
    <row r="172" spans="4:5">
      <c r="D172" s="2"/>
      <c r="E172" s="2"/>
    </row>
    <row r="173" spans="4:5">
      <c r="D173" s="2"/>
      <c r="E173" s="2"/>
    </row>
    <row r="174" spans="4:5">
      <c r="D174" s="2"/>
      <c r="E174" s="2"/>
    </row>
    <row r="175" spans="4:5">
      <c r="D175" s="2"/>
      <c r="E175" s="2"/>
    </row>
    <row r="176" spans="4:5">
      <c r="D176" s="2"/>
      <c r="E176" s="2"/>
    </row>
    <row r="177" spans="4:5">
      <c r="D177" s="2"/>
      <c r="E177" s="2"/>
    </row>
    <row r="178" spans="4:5">
      <c r="D178" s="2"/>
      <c r="E178" s="2"/>
    </row>
    <row r="179" spans="4:5">
      <c r="D179" s="2"/>
      <c r="E179" s="2"/>
    </row>
    <row r="180" spans="4:5">
      <c r="D180" s="2"/>
      <c r="E180" s="2"/>
    </row>
    <row r="181" spans="4:5">
      <c r="D181" s="2"/>
      <c r="E181" s="2"/>
    </row>
    <row r="182" spans="4:5">
      <c r="D182" s="2"/>
      <c r="E182" s="2"/>
    </row>
    <row r="183" spans="4:5">
      <c r="D183" s="2"/>
      <c r="E183" s="2"/>
    </row>
    <row r="184" spans="4:5">
      <c r="D184" s="2"/>
      <c r="E184" s="2"/>
    </row>
    <row r="185" spans="4:5">
      <c r="D185" s="2"/>
      <c r="E185" s="2"/>
    </row>
    <row r="186" spans="4:5">
      <c r="D186" s="2"/>
      <c r="E186" s="2"/>
    </row>
    <row r="187" spans="4:5">
      <c r="D187" s="2"/>
      <c r="E187" s="2"/>
    </row>
    <row r="188" spans="4:5">
      <c r="D188" s="2"/>
      <c r="E188" s="2"/>
    </row>
    <row r="189" spans="4:5">
      <c r="D189" s="2"/>
      <c r="E189" s="2"/>
    </row>
    <row r="190" spans="4:5">
      <c r="D190" s="2"/>
      <c r="E190" s="2"/>
    </row>
    <row r="191" spans="4:5">
      <c r="D191" s="2"/>
      <c r="E191" s="2"/>
    </row>
    <row r="192" spans="4:5">
      <c r="D192" s="2"/>
      <c r="E192" s="2"/>
    </row>
    <row r="193" spans="4:5">
      <c r="D193" s="2"/>
      <c r="E193" s="2"/>
    </row>
    <row r="194" spans="4:5">
      <c r="D194" s="2"/>
      <c r="E194" s="2"/>
    </row>
    <row r="195" spans="4:5">
      <c r="D195" s="2"/>
      <c r="E195" s="2"/>
    </row>
    <row r="196" spans="4:5">
      <c r="D196" s="2"/>
      <c r="E196" s="2"/>
    </row>
    <row r="197" spans="4:5">
      <c r="D197" s="2"/>
      <c r="E197" s="2"/>
    </row>
    <row r="198" spans="4:5">
      <c r="D198" s="2"/>
      <c r="E198" s="2"/>
    </row>
    <row r="199" spans="4:5">
      <c r="D199" s="2"/>
      <c r="E199" s="2"/>
    </row>
    <row r="200" spans="4:5">
      <c r="D200" s="2"/>
      <c r="E200" s="2"/>
    </row>
    <row r="201" spans="4:5">
      <c r="D201" s="2"/>
      <c r="E201" s="2"/>
    </row>
    <row r="202" spans="4:5">
      <c r="D202" s="2"/>
      <c r="E202" s="2"/>
    </row>
    <row r="203" spans="4:5">
      <c r="D203" s="2"/>
      <c r="E203" s="2"/>
    </row>
    <row r="204" spans="4:5">
      <c r="D204" s="2"/>
      <c r="E204" s="2"/>
    </row>
    <row r="205" spans="4:5">
      <c r="D205" s="2"/>
      <c r="E205" s="2"/>
    </row>
    <row r="206" spans="4:5">
      <c r="D206" s="2"/>
      <c r="E206" s="2"/>
    </row>
    <row r="207" spans="4:5">
      <c r="D207" s="2"/>
      <c r="E207" s="2"/>
    </row>
    <row r="208" spans="4:5">
      <c r="D208" s="2"/>
      <c r="E208" s="2"/>
    </row>
    <row r="209" spans="4:5">
      <c r="D209" s="2"/>
      <c r="E209" s="2"/>
    </row>
    <row r="210" spans="4:5">
      <c r="D210" s="2"/>
      <c r="E210" s="2"/>
    </row>
    <row r="211" spans="4:5">
      <c r="D211" s="2"/>
      <c r="E211" s="2"/>
    </row>
    <row r="212" spans="4:5">
      <c r="D212" s="2"/>
      <c r="E212" s="2"/>
    </row>
    <row r="213" spans="4:5">
      <c r="D213" s="2"/>
      <c r="E213" s="2"/>
    </row>
    <row r="214" spans="4:5">
      <c r="D214" s="2"/>
      <c r="E214" s="2"/>
    </row>
    <row r="215" spans="4:5">
      <c r="D215" s="2"/>
      <c r="E215" s="2"/>
    </row>
    <row r="216" spans="4:5">
      <c r="D216" s="2"/>
      <c r="E216" s="2"/>
    </row>
    <row r="217" spans="4:5">
      <c r="D217" s="2"/>
      <c r="E217" s="2"/>
    </row>
    <row r="218" spans="4:5">
      <c r="D218" s="2"/>
      <c r="E218" s="2"/>
    </row>
    <row r="219" spans="4:5">
      <c r="D219" s="2"/>
      <c r="E219" s="2"/>
    </row>
    <row r="220" spans="4:5">
      <c r="D220" s="2"/>
      <c r="E220" s="2"/>
    </row>
    <row r="221" spans="4:5">
      <c r="D221" s="2"/>
      <c r="E221" s="2"/>
    </row>
    <row r="222" spans="4:5">
      <c r="D222" s="2"/>
      <c r="E222" s="2"/>
    </row>
    <row r="223" spans="4:5">
      <c r="D223" s="2"/>
      <c r="E223" s="2"/>
    </row>
    <row r="224" spans="4:5">
      <c r="D224" s="2"/>
      <c r="E224" s="2"/>
    </row>
    <row r="225" spans="4:5">
      <c r="D225" s="2"/>
      <c r="E225" s="2"/>
    </row>
    <row r="226" spans="4:5">
      <c r="D226" s="2"/>
      <c r="E226" s="2"/>
    </row>
    <row r="227" spans="4:5">
      <c r="D227" s="2"/>
      <c r="E227" s="2"/>
    </row>
    <row r="228" spans="4:5">
      <c r="D228" s="2"/>
      <c r="E228" s="2"/>
    </row>
    <row r="229" spans="4:5">
      <c r="D229" s="2"/>
      <c r="E229" s="2"/>
    </row>
    <row r="230" spans="4:5">
      <c r="D230" s="2"/>
      <c r="E230" s="2"/>
    </row>
    <row r="231" spans="4:5">
      <c r="D231" s="2"/>
      <c r="E231" s="2"/>
    </row>
    <row r="232" spans="4:5">
      <c r="D232" s="2"/>
      <c r="E232" s="2"/>
    </row>
    <row r="233" spans="4:5">
      <c r="D233" s="2"/>
      <c r="E233" s="2"/>
    </row>
    <row r="234" spans="4:5">
      <c r="D234" s="2"/>
      <c r="E234" s="2"/>
    </row>
    <row r="235" spans="4:5">
      <c r="D235" s="2"/>
      <c r="E235" s="2"/>
    </row>
    <row r="236" spans="4:5">
      <c r="D236" s="2"/>
      <c r="E236" s="2"/>
    </row>
    <row r="237" spans="4:5">
      <c r="D237" s="2"/>
      <c r="E237" s="2"/>
    </row>
    <row r="238" spans="4:5">
      <c r="D238" s="2"/>
      <c r="E238" s="2"/>
    </row>
    <row r="239" spans="4:5">
      <c r="D239" s="2"/>
      <c r="E239" s="2"/>
    </row>
    <row r="240" spans="4:5">
      <c r="D240" s="2"/>
      <c r="E240" s="2"/>
    </row>
    <row r="241" spans="4:5">
      <c r="D241" s="2"/>
      <c r="E241" s="2"/>
    </row>
    <row r="242" spans="4:5">
      <c r="D242" s="2"/>
      <c r="E242" s="2"/>
    </row>
    <row r="243" spans="4:5">
      <c r="D243" s="2"/>
      <c r="E243" s="2"/>
    </row>
    <row r="244" spans="4:5">
      <c r="D244" s="2"/>
      <c r="E244" s="2"/>
    </row>
    <row r="245" spans="4:5">
      <c r="D245" s="2"/>
      <c r="E245" s="2"/>
    </row>
    <row r="246" spans="4:5">
      <c r="D246" s="2"/>
      <c r="E246" s="2"/>
    </row>
    <row r="247" spans="4:5">
      <c r="D247" s="2"/>
      <c r="E247" s="2"/>
    </row>
    <row r="248" spans="4:5">
      <c r="D248" s="2"/>
      <c r="E248" s="2"/>
    </row>
    <row r="249" spans="4:5">
      <c r="D249" s="2"/>
      <c r="E249" s="2"/>
    </row>
    <row r="250" spans="4:5">
      <c r="D250" s="2"/>
      <c r="E250" s="2"/>
    </row>
    <row r="251" spans="4:5">
      <c r="D251" s="2"/>
      <c r="E251" s="2"/>
    </row>
    <row r="252" spans="4:5">
      <c r="D252" s="2"/>
      <c r="E252" s="2"/>
    </row>
    <row r="253" spans="4:5">
      <c r="D253" s="2"/>
      <c r="E253" s="2"/>
    </row>
    <row r="254" spans="4:5">
      <c r="D254" s="2"/>
      <c r="E254" s="2"/>
    </row>
    <row r="255" spans="4:5">
      <c r="D255" s="2"/>
      <c r="E255" s="2"/>
    </row>
    <row r="256" spans="4:5">
      <c r="D256" s="2"/>
      <c r="E256" s="2"/>
    </row>
    <row r="257" spans="4:5">
      <c r="D257" s="2"/>
      <c r="E257" s="2"/>
    </row>
    <row r="258" spans="4:5">
      <c r="D258" s="2"/>
      <c r="E258" s="2"/>
    </row>
    <row r="259" spans="4:5">
      <c r="D259" s="2"/>
      <c r="E259" s="2"/>
    </row>
    <row r="260" spans="4:5">
      <c r="D260" s="2"/>
      <c r="E260" s="2"/>
    </row>
    <row r="261" spans="4:5">
      <c r="D261" s="2"/>
      <c r="E261" s="2"/>
    </row>
    <row r="262" spans="4:5">
      <c r="D262" s="2"/>
      <c r="E262" s="2"/>
    </row>
    <row r="263" spans="4:5">
      <c r="D263" s="2"/>
      <c r="E263" s="2"/>
    </row>
    <row r="264" spans="4:5">
      <c r="D264" s="2"/>
      <c r="E264" s="2"/>
    </row>
    <row r="265" spans="4:5">
      <c r="D265" s="2"/>
      <c r="E265" s="2"/>
    </row>
    <row r="266" spans="4:5">
      <c r="D266" s="2"/>
      <c r="E266" s="2"/>
    </row>
    <row r="267" spans="4:5">
      <c r="D267" s="2"/>
      <c r="E267" s="2"/>
    </row>
    <row r="268" spans="4:5">
      <c r="D268" s="2"/>
      <c r="E268" s="2"/>
    </row>
    <row r="269" spans="4:5">
      <c r="D269" s="2"/>
      <c r="E269" s="2"/>
    </row>
    <row r="270" spans="4:5">
      <c r="D270" s="2"/>
      <c r="E270" s="2"/>
    </row>
    <row r="271" spans="4:5">
      <c r="D271" s="2"/>
      <c r="E271" s="2"/>
    </row>
    <row r="272" spans="4:5">
      <c r="D272" s="2"/>
      <c r="E272" s="2"/>
    </row>
    <row r="273" spans="4:5">
      <c r="D273" s="2"/>
      <c r="E273" s="2"/>
    </row>
    <row r="274" spans="4:5">
      <c r="D274" s="2"/>
      <c r="E274" s="2"/>
    </row>
    <row r="275" spans="4:5">
      <c r="D275" s="2"/>
      <c r="E275" s="2"/>
    </row>
    <row r="276" spans="4:5">
      <c r="D276" s="2"/>
      <c r="E276" s="2"/>
    </row>
    <row r="277" spans="4:5">
      <c r="D277" s="2"/>
      <c r="E277" s="2"/>
    </row>
    <row r="278" spans="4:5">
      <c r="D278" s="2"/>
      <c r="E278" s="2"/>
    </row>
    <row r="279" spans="4:5">
      <c r="D279" s="2"/>
      <c r="E279" s="2"/>
    </row>
    <row r="280" spans="4:5">
      <c r="D280" s="2"/>
      <c r="E280" s="2"/>
    </row>
    <row r="281" spans="4:5">
      <c r="D281" s="2"/>
      <c r="E281" s="2"/>
    </row>
    <row r="282" spans="4:5">
      <c r="D282" s="2"/>
      <c r="E282" s="2"/>
    </row>
    <row r="283" spans="4:5">
      <c r="D283" s="2"/>
      <c r="E283" s="2"/>
    </row>
    <row r="284" spans="4:5">
      <c r="D284" s="2"/>
      <c r="E284" s="2"/>
    </row>
    <row r="285" spans="4:5">
      <c r="D285" s="2"/>
      <c r="E285" s="2"/>
    </row>
    <row r="286" spans="4:5">
      <c r="D286" s="2"/>
      <c r="E286" s="2"/>
    </row>
    <row r="287" spans="4:5">
      <c r="D287" s="2"/>
      <c r="E287" s="2"/>
    </row>
    <row r="288" spans="4:5">
      <c r="D288" s="2"/>
      <c r="E288" s="2"/>
    </row>
    <row r="289" spans="4:5">
      <c r="D289" s="2"/>
      <c r="E289" s="2"/>
    </row>
    <row r="290" spans="4:5">
      <c r="D290" s="2"/>
      <c r="E290" s="2"/>
    </row>
    <row r="291" spans="4:5">
      <c r="D291" s="2"/>
      <c r="E291" s="2"/>
    </row>
    <row r="292" spans="4:5">
      <c r="D292" s="2"/>
      <c r="E292" s="2"/>
    </row>
    <row r="293" spans="4:5">
      <c r="D293" s="2"/>
      <c r="E293" s="2"/>
    </row>
    <row r="294" spans="4:5">
      <c r="D294" s="2"/>
      <c r="E294" s="2"/>
    </row>
    <row r="295" spans="4:5">
      <c r="D295" s="2"/>
      <c r="E295" s="2"/>
    </row>
    <row r="296" spans="4:5">
      <c r="D296" s="2"/>
      <c r="E296" s="2"/>
    </row>
    <row r="297" spans="4:5">
      <c r="D297" s="2"/>
      <c r="E297" s="2"/>
    </row>
    <row r="298" spans="4:5">
      <c r="D298" s="2"/>
      <c r="E298" s="2"/>
    </row>
    <row r="299" spans="4:5">
      <c r="D299" s="2"/>
      <c r="E299" s="2"/>
    </row>
    <row r="300" spans="4:5">
      <c r="D300" s="2"/>
      <c r="E300" s="2"/>
    </row>
    <row r="301" spans="4:5">
      <c r="D301" s="2"/>
      <c r="E301" s="2"/>
    </row>
    <row r="302" spans="4:5">
      <c r="D302" s="2"/>
      <c r="E302" s="2"/>
    </row>
    <row r="303" spans="4:5">
      <c r="D303" s="2"/>
      <c r="E303" s="2"/>
    </row>
    <row r="304" spans="4:5">
      <c r="D304" s="2"/>
      <c r="E304" s="2"/>
    </row>
    <row r="305" spans="4:5">
      <c r="D305" s="2"/>
      <c r="E305" s="2"/>
    </row>
    <row r="306" spans="4:5">
      <c r="D306" s="2"/>
      <c r="E306" s="2"/>
    </row>
    <row r="307" spans="4:5">
      <c r="D307" s="2"/>
      <c r="E307" s="2"/>
    </row>
    <row r="308" spans="4:5">
      <c r="D308" s="2"/>
      <c r="E308" s="2"/>
    </row>
    <row r="309" spans="4:5">
      <c r="D309" s="2"/>
      <c r="E309" s="2"/>
    </row>
    <row r="310" spans="4:5">
      <c r="D310" s="2"/>
      <c r="E310" s="2"/>
    </row>
    <row r="311" spans="4:5">
      <c r="D311" s="2"/>
      <c r="E311" s="2"/>
    </row>
    <row r="312" spans="4:5">
      <c r="D312" s="2"/>
      <c r="E312" s="2"/>
    </row>
    <row r="313" spans="4:5">
      <c r="D313" s="2"/>
      <c r="E313" s="2"/>
    </row>
    <row r="314" spans="4:5">
      <c r="D314" s="2"/>
      <c r="E314" s="2"/>
    </row>
    <row r="315" spans="4:5">
      <c r="D315" s="2"/>
      <c r="E315" s="2"/>
    </row>
    <row r="316" spans="4:5">
      <c r="D316" s="2"/>
      <c r="E316" s="2"/>
    </row>
    <row r="317" spans="4:5">
      <c r="D317" s="2"/>
      <c r="E317" s="2"/>
    </row>
    <row r="318" spans="4:5">
      <c r="D318" s="2"/>
      <c r="E318" s="2"/>
    </row>
    <row r="319" spans="4:5">
      <c r="D319" s="2"/>
      <c r="E319" s="2"/>
    </row>
    <row r="320" spans="4:5">
      <c r="D320" s="2"/>
      <c r="E320" s="2"/>
    </row>
    <row r="321" spans="4:5">
      <c r="D321" s="2"/>
      <c r="E321" s="2"/>
    </row>
    <row r="322" spans="4:5">
      <c r="D322" s="2"/>
      <c r="E322" s="2"/>
    </row>
    <row r="323" spans="4:5">
      <c r="D323" s="2"/>
      <c r="E323" s="2"/>
    </row>
    <row r="324" spans="4:5">
      <c r="D324" s="2"/>
      <c r="E324" s="2"/>
    </row>
    <row r="325" spans="4:5">
      <c r="D325" s="2"/>
      <c r="E325" s="2"/>
    </row>
    <row r="326" spans="4:5">
      <c r="D326" s="2"/>
      <c r="E326" s="2"/>
    </row>
    <row r="327" spans="4:5">
      <c r="D327" s="2"/>
      <c r="E327" s="2"/>
    </row>
    <row r="328" spans="4:5">
      <c r="D328" s="2"/>
      <c r="E328" s="2"/>
    </row>
    <row r="329" spans="4:5">
      <c r="D329" s="2"/>
      <c r="E329" s="2"/>
    </row>
    <row r="330" spans="4:5">
      <c r="D330" s="2"/>
      <c r="E330" s="2"/>
    </row>
    <row r="331" spans="4:5">
      <c r="D331" s="2"/>
      <c r="E331" s="2"/>
    </row>
    <row r="332" spans="4:5">
      <c r="D332" s="2"/>
      <c r="E332" s="2"/>
    </row>
    <row r="333" spans="4:5">
      <c r="D333" s="2"/>
      <c r="E333" s="2"/>
    </row>
    <row r="334" spans="4:5">
      <c r="D334" s="2"/>
      <c r="E334" s="2"/>
    </row>
    <row r="335" spans="4:5">
      <c r="D335" s="2"/>
      <c r="E335" s="2"/>
    </row>
    <row r="336" spans="4:5">
      <c r="D336" s="2"/>
      <c r="E336" s="2"/>
    </row>
    <row r="337" spans="4:5">
      <c r="D337" s="2"/>
      <c r="E337" s="2"/>
    </row>
    <row r="338" spans="4:5">
      <c r="D338" s="2"/>
      <c r="E338" s="2"/>
    </row>
    <row r="339" spans="4:5">
      <c r="D339" s="2"/>
      <c r="E339" s="2"/>
    </row>
    <row r="340" spans="4:5">
      <c r="D340" s="2"/>
      <c r="E340" s="2"/>
    </row>
    <row r="341" spans="4:5">
      <c r="D341" s="2"/>
      <c r="E341" s="2"/>
    </row>
    <row r="342" spans="4:5">
      <c r="D342" s="2"/>
      <c r="E342" s="2"/>
    </row>
    <row r="343" spans="4:5">
      <c r="D343" s="2"/>
      <c r="E343" s="2"/>
    </row>
    <row r="344" spans="4:5">
      <c r="D344" s="2"/>
      <c r="E344" s="2"/>
    </row>
    <row r="345" spans="4:5">
      <c r="D345" s="2"/>
      <c r="E345" s="2"/>
    </row>
    <row r="346" spans="4:5">
      <c r="D346" s="2"/>
      <c r="E346" s="2"/>
    </row>
    <row r="347" spans="4:5">
      <c r="D347" s="2"/>
      <c r="E347" s="2"/>
    </row>
    <row r="348" spans="4:5">
      <c r="D348" s="2"/>
      <c r="E348" s="2"/>
    </row>
    <row r="349" spans="4:5">
      <c r="D349" s="2"/>
      <c r="E349" s="2"/>
    </row>
    <row r="350" spans="4:5">
      <c r="D350" s="2"/>
      <c r="E350" s="2"/>
    </row>
    <row r="351" spans="4:5">
      <c r="D351" s="2"/>
      <c r="E351" s="2"/>
    </row>
    <row r="352" spans="4:5">
      <c r="D352" s="2"/>
      <c r="E352" s="2"/>
    </row>
    <row r="353" spans="4:5">
      <c r="D353" s="2"/>
      <c r="E353" s="2"/>
    </row>
    <row r="354" spans="4:5">
      <c r="D354" s="2"/>
      <c r="E354" s="2"/>
    </row>
    <row r="355" spans="4:5">
      <c r="D355" s="2"/>
      <c r="E355" s="2"/>
    </row>
    <row r="356" spans="4:5">
      <c r="D356" s="2"/>
      <c r="E356" s="2"/>
    </row>
    <row r="357" spans="4:5">
      <c r="D357" s="2"/>
      <c r="E357" s="2"/>
    </row>
    <row r="358" spans="4:5">
      <c r="D358" s="2"/>
      <c r="E358" s="2"/>
    </row>
    <row r="359" spans="4:5">
      <c r="D359" s="2"/>
      <c r="E359" s="2"/>
    </row>
    <row r="360" spans="4:5">
      <c r="D360" s="2"/>
      <c r="E360" s="2"/>
    </row>
    <row r="361" spans="4:5">
      <c r="D361" s="2"/>
      <c r="E361" s="2"/>
    </row>
    <row r="362" spans="4:5">
      <c r="D362" s="2"/>
      <c r="E362" s="2"/>
    </row>
    <row r="363" spans="4:5">
      <c r="D363" s="2"/>
      <c r="E363" s="2"/>
    </row>
    <row r="364" spans="4:5">
      <c r="D364" s="2"/>
      <c r="E364" s="2"/>
    </row>
    <row r="365" spans="4:5">
      <c r="D365" s="2"/>
      <c r="E365" s="2"/>
    </row>
    <row r="366" spans="4:5">
      <c r="D366" s="2"/>
      <c r="E366" s="2"/>
    </row>
    <row r="367" spans="4:5">
      <c r="D367" s="2"/>
      <c r="E367" s="2"/>
    </row>
    <row r="368" spans="4:5">
      <c r="D368" s="2"/>
      <c r="E368" s="2"/>
    </row>
    <row r="369" spans="4:5">
      <c r="D369" s="2"/>
      <c r="E369" s="2"/>
    </row>
    <row r="370" spans="4:5">
      <c r="D370" s="2"/>
      <c r="E370" s="2"/>
    </row>
    <row r="371" spans="4:5">
      <c r="D371" s="2"/>
      <c r="E371" s="2"/>
    </row>
    <row r="372" spans="4:5">
      <c r="D372" s="2"/>
      <c r="E372" s="2"/>
    </row>
    <row r="373" spans="4:5">
      <c r="D373" s="2"/>
      <c r="E373" s="2"/>
    </row>
    <row r="374" spans="4:5">
      <c r="D374" s="2"/>
      <c r="E374" s="2"/>
    </row>
    <row r="375" spans="4:5">
      <c r="D375" s="2"/>
      <c r="E375" s="2"/>
    </row>
    <row r="376" spans="4:5">
      <c r="D376" s="2"/>
      <c r="E376" s="2"/>
    </row>
    <row r="377" spans="4:5">
      <c r="D377" s="2"/>
      <c r="E377" s="2"/>
    </row>
    <row r="378" spans="4:5">
      <c r="D378" s="2"/>
      <c r="E378" s="2"/>
    </row>
    <row r="379" spans="4:5">
      <c r="D379" s="2"/>
      <c r="E379" s="2"/>
    </row>
    <row r="380" spans="4:5">
      <c r="D380" s="2"/>
      <c r="E380" s="2"/>
    </row>
    <row r="381" spans="4:5">
      <c r="D381" s="2"/>
      <c r="E381" s="2"/>
    </row>
    <row r="382" spans="4:5">
      <c r="D382" s="2"/>
      <c r="E382" s="2"/>
    </row>
    <row r="383" spans="4:5">
      <c r="D383" s="2"/>
      <c r="E383" s="2"/>
    </row>
    <row r="384" spans="4:5">
      <c r="D384" s="2"/>
      <c r="E384" s="2"/>
    </row>
    <row r="385" spans="4:5">
      <c r="D385" s="2"/>
      <c r="E385" s="2"/>
    </row>
    <row r="386" spans="4:5">
      <c r="D386" s="2"/>
      <c r="E386" s="2"/>
    </row>
    <row r="387" spans="4:5">
      <c r="D387" s="2"/>
      <c r="E387" s="2"/>
    </row>
    <row r="388" spans="4:5">
      <c r="D388" s="2"/>
      <c r="E388" s="2"/>
    </row>
    <row r="389" spans="4:5">
      <c r="D389" s="2"/>
      <c r="E389" s="2"/>
    </row>
    <row r="390" spans="4:5">
      <c r="D390" s="2"/>
      <c r="E390" s="2"/>
    </row>
    <row r="391" spans="4:5">
      <c r="D391" s="2"/>
      <c r="E391" s="2"/>
    </row>
    <row r="392" spans="4:5">
      <c r="D392" s="2"/>
      <c r="E392" s="2"/>
    </row>
    <row r="393" spans="4:5">
      <c r="D393" s="2"/>
      <c r="E393" s="2"/>
    </row>
    <row r="394" spans="4:5">
      <c r="D394" s="2"/>
      <c r="E394" s="2"/>
    </row>
    <row r="395" spans="4:5">
      <c r="D395" s="2"/>
      <c r="E395" s="2"/>
    </row>
    <row r="396" spans="4:5">
      <c r="D396" s="2"/>
      <c r="E396" s="2"/>
    </row>
    <row r="397" spans="4:5">
      <c r="D397" s="2"/>
      <c r="E397" s="2"/>
    </row>
    <row r="398" spans="4:5">
      <c r="D398" s="2"/>
      <c r="E398" s="2"/>
    </row>
    <row r="399" spans="4:5">
      <c r="D399" s="2"/>
      <c r="E399" s="2"/>
    </row>
    <row r="400" spans="4:5">
      <c r="D400" s="2"/>
      <c r="E400" s="2"/>
    </row>
    <row r="401" spans="4:5">
      <c r="D401" s="2"/>
      <c r="E401" s="2"/>
    </row>
    <row r="402" spans="4:5">
      <c r="D402" s="2"/>
      <c r="E402" s="2"/>
    </row>
    <row r="403" spans="4:5">
      <c r="D403" s="2"/>
      <c r="E403" s="2"/>
    </row>
    <row r="404" spans="4:5">
      <c r="D404" s="2"/>
      <c r="E404" s="2"/>
    </row>
    <row r="405" spans="4:5">
      <c r="D405" s="2"/>
      <c r="E405" s="2"/>
    </row>
    <row r="406" spans="4:5">
      <c r="D406" s="2"/>
      <c r="E406" s="2"/>
    </row>
    <row r="407" spans="4:5">
      <c r="D407" s="2"/>
      <c r="E407" s="2"/>
    </row>
    <row r="408" spans="4:5">
      <c r="D408" s="2"/>
      <c r="E408" s="2"/>
    </row>
    <row r="409" spans="4:5">
      <c r="D409" s="2"/>
      <c r="E409" s="2"/>
    </row>
    <row r="410" spans="4:5">
      <c r="D410" s="2"/>
      <c r="E410" s="2"/>
    </row>
    <row r="411" spans="4:5">
      <c r="D411" s="2"/>
      <c r="E411" s="2"/>
    </row>
    <row r="412" spans="4:5">
      <c r="D412" s="2"/>
      <c r="E412" s="2"/>
    </row>
    <row r="413" spans="4:5">
      <c r="D413" s="2"/>
      <c r="E413" s="2"/>
    </row>
    <row r="414" spans="4:5">
      <c r="D414" s="2"/>
      <c r="E414" s="2"/>
    </row>
    <row r="415" spans="4:5">
      <c r="D415" s="2"/>
      <c r="E415" s="2"/>
    </row>
    <row r="416" spans="4:5">
      <c r="D416" s="2"/>
      <c r="E416" s="2"/>
    </row>
    <row r="417" spans="4:5">
      <c r="D417" s="2"/>
      <c r="E417" s="2"/>
    </row>
    <row r="418" spans="4:5">
      <c r="D418" s="2"/>
      <c r="E418" s="2"/>
    </row>
    <row r="419" spans="4:5">
      <c r="D419" s="2"/>
      <c r="E419" s="2"/>
    </row>
    <row r="420" spans="4:5">
      <c r="D420" s="2"/>
      <c r="E420" s="2"/>
    </row>
    <row r="421" spans="4:5">
      <c r="D421" s="2"/>
      <c r="E421" s="2"/>
    </row>
    <row r="422" spans="4:5">
      <c r="D422" s="2"/>
      <c r="E422" s="2"/>
    </row>
    <row r="423" spans="4:5">
      <c r="D423" s="2"/>
      <c r="E423" s="2"/>
    </row>
    <row r="424" spans="4:5">
      <c r="D424" s="2"/>
      <c r="E424" s="2"/>
    </row>
    <row r="425" spans="4:5">
      <c r="D425" s="2"/>
      <c r="E425" s="2"/>
    </row>
    <row r="426" spans="4:5">
      <c r="D426" s="2"/>
      <c r="E426" s="2"/>
    </row>
    <row r="427" spans="4:5">
      <c r="D427" s="2"/>
      <c r="E427" s="2"/>
    </row>
    <row r="428" spans="4:5">
      <c r="D428" s="2"/>
      <c r="E428" s="2"/>
    </row>
    <row r="429" spans="4:5">
      <c r="D429" s="2"/>
      <c r="E429" s="2"/>
    </row>
    <row r="430" spans="4:5">
      <c r="D430" s="2"/>
      <c r="E430" s="2"/>
    </row>
    <row r="431" spans="4:5">
      <c r="D431" s="2"/>
      <c r="E431" s="2"/>
    </row>
    <row r="432" spans="4:5">
      <c r="D432" s="2"/>
      <c r="E432" s="2"/>
    </row>
    <row r="433" spans="4:5">
      <c r="D433" s="2"/>
      <c r="E433" s="2"/>
    </row>
    <row r="434" spans="4:5">
      <c r="D434" s="2"/>
      <c r="E434" s="2"/>
    </row>
    <row r="435" spans="4:5">
      <c r="D435" s="2"/>
      <c r="E435" s="2"/>
    </row>
    <row r="436" spans="4:5">
      <c r="D436" s="2"/>
      <c r="E436" s="2"/>
    </row>
    <row r="437" spans="4:5">
      <c r="D437" s="2"/>
      <c r="E437" s="2"/>
    </row>
    <row r="438" spans="4:5">
      <c r="D438" s="2"/>
      <c r="E438" s="2"/>
    </row>
    <row r="439" spans="4:5">
      <c r="D439" s="2"/>
      <c r="E439" s="2"/>
    </row>
    <row r="440" spans="4:5">
      <c r="D440" s="2"/>
      <c r="E440" s="2"/>
    </row>
    <row r="441" spans="4:5">
      <c r="D441" s="2"/>
      <c r="E441" s="2"/>
    </row>
    <row r="442" spans="4:5">
      <c r="D442" s="2"/>
      <c r="E442" s="2"/>
    </row>
    <row r="443" spans="4:5">
      <c r="D443" s="2"/>
      <c r="E443" s="2"/>
    </row>
    <row r="444" spans="4:5">
      <c r="D444" s="2"/>
      <c r="E444" s="2"/>
    </row>
    <row r="445" spans="4:5">
      <c r="D445" s="2"/>
      <c r="E445" s="2"/>
    </row>
    <row r="446" spans="4:5">
      <c r="D446" s="2"/>
      <c r="E446" s="2"/>
    </row>
    <row r="447" spans="4:5">
      <c r="D447" s="2"/>
      <c r="E447" s="2"/>
    </row>
    <row r="448" spans="4:5">
      <c r="D448" s="2"/>
      <c r="E448" s="2"/>
    </row>
    <row r="449" spans="4:5">
      <c r="D449" s="2"/>
      <c r="E449" s="2"/>
    </row>
    <row r="450" spans="4:5">
      <c r="D450" s="2"/>
      <c r="E450" s="2"/>
    </row>
    <row r="451" spans="4:5">
      <c r="D451" s="2"/>
      <c r="E451" s="2"/>
    </row>
    <row r="452" spans="4:5">
      <c r="D452" s="2"/>
      <c r="E452" s="2"/>
    </row>
    <row r="453" spans="4:5">
      <c r="D453" s="2"/>
      <c r="E453" s="2"/>
    </row>
    <row r="454" spans="4:5">
      <c r="D454" s="2"/>
      <c r="E454" s="2"/>
    </row>
    <row r="455" spans="4:5">
      <c r="D455" s="2"/>
      <c r="E455" s="2"/>
    </row>
    <row r="456" spans="4:5">
      <c r="D456" s="2"/>
      <c r="E456" s="2"/>
    </row>
    <row r="457" spans="4:5">
      <c r="D457" s="2"/>
      <c r="E457" s="2"/>
    </row>
    <row r="458" spans="4:5">
      <c r="D458" s="2"/>
      <c r="E458" s="2"/>
    </row>
    <row r="459" spans="4:5">
      <c r="D459" s="2"/>
      <c r="E459" s="2"/>
    </row>
    <row r="460" spans="4:5">
      <c r="D460" s="2"/>
      <c r="E460" s="2"/>
    </row>
    <row r="461" spans="4:5">
      <c r="D461" s="2"/>
      <c r="E461" s="2"/>
    </row>
    <row r="462" spans="4:5">
      <c r="D462" s="2"/>
      <c r="E462" s="2"/>
    </row>
    <row r="463" spans="4:5">
      <c r="D463" s="2"/>
      <c r="E463" s="2"/>
    </row>
    <row r="464" spans="4:5">
      <c r="D464" s="2"/>
      <c r="E464" s="2"/>
    </row>
    <row r="465" spans="4:5">
      <c r="D465" s="2"/>
      <c r="E465" s="2"/>
    </row>
    <row r="466" spans="4:5">
      <c r="D466" s="2"/>
      <c r="E466" s="2"/>
    </row>
    <row r="467" spans="4:5">
      <c r="D467" s="2"/>
      <c r="E467" s="2"/>
    </row>
    <row r="468" spans="4:5">
      <c r="D468" s="2"/>
      <c r="E468" s="2"/>
    </row>
    <row r="469" spans="4:5">
      <c r="D469" s="2"/>
      <c r="E469" s="2"/>
    </row>
    <row r="470" spans="4:5">
      <c r="D470" s="2"/>
      <c r="E470" s="2"/>
    </row>
    <row r="471" spans="4:5">
      <c r="D471" s="2"/>
      <c r="E471" s="2"/>
    </row>
    <row r="472" spans="4:5">
      <c r="D472" s="2"/>
      <c r="E472" s="2"/>
    </row>
    <row r="473" spans="4:5">
      <c r="D473" s="2"/>
      <c r="E473" s="2"/>
    </row>
    <row r="474" spans="4:5">
      <c r="D474" s="2"/>
      <c r="E474" s="2"/>
    </row>
    <row r="475" spans="4:5">
      <c r="D475" s="2"/>
      <c r="E475" s="2"/>
    </row>
    <row r="476" spans="4:5">
      <c r="D476" s="2"/>
      <c r="E476" s="2"/>
    </row>
    <row r="477" spans="4:5">
      <c r="D477" s="2"/>
      <c r="E477" s="2"/>
    </row>
    <row r="478" spans="4:5">
      <c r="D478" s="2"/>
      <c r="E478" s="2"/>
    </row>
    <row r="479" spans="4:5">
      <c r="D479" s="2"/>
      <c r="E479" s="2"/>
    </row>
    <row r="480" spans="4:5">
      <c r="D480" s="2"/>
      <c r="E480" s="2"/>
    </row>
    <row r="481" spans="4:5">
      <c r="D481" s="2"/>
      <c r="E481" s="2"/>
    </row>
    <row r="482" spans="4:5">
      <c r="D482" s="2"/>
      <c r="E482" s="2"/>
    </row>
    <row r="483" spans="4:5">
      <c r="D483" s="2"/>
      <c r="E483" s="2"/>
    </row>
    <row r="484" spans="4:5">
      <c r="D484" s="2"/>
      <c r="E484" s="2"/>
    </row>
    <row r="485" spans="4:5">
      <c r="D485" s="2"/>
      <c r="E485" s="2"/>
    </row>
    <row r="486" spans="4:5">
      <c r="D486" s="2"/>
      <c r="E486" s="2"/>
    </row>
    <row r="487" spans="4:5">
      <c r="D487" s="2"/>
      <c r="E487" s="2"/>
    </row>
    <row r="488" spans="4:5">
      <c r="D488" s="2"/>
      <c r="E488" s="2"/>
    </row>
    <row r="489" spans="4:5">
      <c r="D489" s="2"/>
      <c r="E489" s="2"/>
    </row>
    <row r="490" spans="4:5">
      <c r="D490" s="2"/>
      <c r="E490" s="2"/>
    </row>
    <row r="491" spans="4:5">
      <c r="D491" s="2"/>
      <c r="E491" s="2"/>
    </row>
    <row r="492" spans="4:5">
      <c r="D492" s="2"/>
      <c r="E492" s="2"/>
    </row>
    <row r="493" spans="4:5">
      <c r="D493" s="2"/>
      <c r="E493" s="2"/>
    </row>
    <row r="494" spans="4:5">
      <c r="D494" s="2"/>
      <c r="E494" s="2"/>
    </row>
    <row r="495" spans="4:5">
      <c r="D495" s="2"/>
      <c r="E495" s="2"/>
    </row>
    <row r="496" spans="4:5">
      <c r="D496" s="2"/>
      <c r="E496" s="2"/>
    </row>
    <row r="497" spans="4:5">
      <c r="D497" s="2"/>
      <c r="E497" s="2"/>
    </row>
    <row r="498" spans="4:5">
      <c r="D498" s="2"/>
      <c r="E498" s="2"/>
    </row>
    <row r="499" spans="4:5">
      <c r="D499" s="2"/>
      <c r="E499" s="2"/>
    </row>
    <row r="500" spans="4:5">
      <c r="D500" s="2"/>
      <c r="E500" s="2"/>
    </row>
    <row r="501" spans="4:5">
      <c r="D501" s="2"/>
      <c r="E501" s="2"/>
    </row>
    <row r="502" spans="4:5">
      <c r="D502" s="2"/>
      <c r="E502" s="2"/>
    </row>
    <row r="503" spans="4:5">
      <c r="D503" s="2"/>
      <c r="E503" s="2"/>
    </row>
    <row r="504" spans="4:5">
      <c r="D504" s="2"/>
      <c r="E504" s="2"/>
    </row>
    <row r="505" spans="4:5">
      <c r="D505" s="2"/>
      <c r="E505" s="2"/>
    </row>
    <row r="506" spans="4:5">
      <c r="D506" s="2"/>
      <c r="E506" s="2"/>
    </row>
    <row r="507" spans="4:5">
      <c r="D507" s="2"/>
      <c r="E507" s="2"/>
    </row>
    <row r="508" spans="4:5">
      <c r="D508" s="2"/>
      <c r="E508" s="2"/>
    </row>
    <row r="509" spans="4:5">
      <c r="D509" s="2"/>
      <c r="E509" s="2"/>
    </row>
    <row r="510" spans="4:5">
      <c r="D510" s="2"/>
      <c r="E510" s="2"/>
    </row>
    <row r="511" spans="4:5">
      <c r="D511" s="2"/>
      <c r="E511" s="2"/>
    </row>
    <row r="512" spans="4:5">
      <c r="D512" s="2"/>
      <c r="E512" s="2"/>
    </row>
    <row r="513" spans="4:5">
      <c r="D513" s="2"/>
      <c r="E513" s="2"/>
    </row>
    <row r="514" spans="4:5">
      <c r="D514" s="2"/>
      <c r="E514" s="2"/>
    </row>
    <row r="515" spans="4:5">
      <c r="D515" s="2"/>
      <c r="E515" s="2"/>
    </row>
    <row r="516" spans="4:5">
      <c r="D516" s="2"/>
      <c r="E516" s="2"/>
    </row>
    <row r="517" spans="4:5">
      <c r="D517" s="2"/>
      <c r="E517" s="2"/>
    </row>
    <row r="518" spans="4:5">
      <c r="D518" s="2"/>
      <c r="E518" s="2"/>
    </row>
    <row r="519" spans="4:5">
      <c r="D519" s="2"/>
      <c r="E519" s="2"/>
    </row>
    <row r="520" spans="4:5">
      <c r="D520" s="2"/>
      <c r="E520" s="2"/>
    </row>
    <row r="521" spans="4:5">
      <c r="D521" s="2"/>
      <c r="E521" s="2"/>
    </row>
    <row r="522" spans="4:5">
      <c r="D522" s="2"/>
      <c r="E522" s="2"/>
    </row>
    <row r="523" spans="4:5">
      <c r="D523" s="2"/>
      <c r="E523" s="2"/>
    </row>
    <row r="524" spans="4:5">
      <c r="D524" s="2"/>
      <c r="E524" s="2"/>
    </row>
    <row r="525" spans="4:5">
      <c r="D525" s="2"/>
      <c r="E525" s="2"/>
    </row>
    <row r="526" spans="4:5">
      <c r="D526" s="2"/>
      <c r="E526" s="2"/>
    </row>
    <row r="527" spans="4:5">
      <c r="D527" s="2"/>
      <c r="E527" s="2"/>
    </row>
    <row r="528" spans="4:5">
      <c r="D528" s="2"/>
      <c r="E528" s="2"/>
    </row>
    <row r="529" spans="4:5">
      <c r="D529" s="2"/>
      <c r="E529" s="2"/>
    </row>
    <row r="530" spans="4:5">
      <c r="D530" s="2"/>
      <c r="E530" s="2"/>
    </row>
    <row r="531" spans="4:5">
      <c r="D531" s="2"/>
      <c r="E531" s="2"/>
    </row>
    <row r="532" spans="4:5">
      <c r="D532" s="2"/>
      <c r="E532" s="2"/>
    </row>
    <row r="533" spans="4:5">
      <c r="D533" s="2"/>
      <c r="E533" s="2"/>
    </row>
    <row r="534" spans="4:5">
      <c r="D534" s="2"/>
      <c r="E534" s="2"/>
    </row>
    <row r="535" spans="4:5">
      <c r="D535" s="2"/>
      <c r="E535" s="2"/>
    </row>
    <row r="536" spans="4:5">
      <c r="D536" s="2"/>
      <c r="E536" s="2"/>
    </row>
    <row r="537" spans="4:5">
      <c r="D537" s="2"/>
      <c r="E537" s="2"/>
    </row>
    <row r="538" spans="4:5">
      <c r="D538" s="2"/>
      <c r="E538" s="2"/>
    </row>
    <row r="539" spans="4:5">
      <c r="D539" s="2"/>
      <c r="E539" s="2"/>
    </row>
    <row r="540" spans="4:5">
      <c r="D540" s="2"/>
      <c r="E540" s="2"/>
    </row>
    <row r="541" spans="4:5">
      <c r="D541" s="2"/>
      <c r="E541" s="2"/>
    </row>
    <row r="542" spans="4:5">
      <c r="D542" s="2"/>
      <c r="E542" s="2"/>
    </row>
    <row r="543" spans="4:5">
      <c r="D543" s="2"/>
      <c r="E543" s="2"/>
    </row>
    <row r="544" spans="4:5">
      <c r="D544" s="2"/>
      <c r="E544" s="2"/>
    </row>
    <row r="545" spans="4:5">
      <c r="D545" s="2"/>
      <c r="E545" s="2"/>
    </row>
    <row r="546" spans="4:5">
      <c r="D546" s="2"/>
      <c r="E546" s="2"/>
    </row>
    <row r="547" spans="4:5">
      <c r="D547" s="2"/>
      <c r="E547" s="2"/>
    </row>
    <row r="548" spans="4:5">
      <c r="D548" s="2"/>
      <c r="E548" s="2"/>
    </row>
    <row r="549" spans="4:5">
      <c r="D549" s="2"/>
      <c r="E549" s="2"/>
    </row>
    <row r="550" spans="4:5">
      <c r="D550" s="2"/>
      <c r="E550" s="2"/>
    </row>
    <row r="551" spans="4:5">
      <c r="D551" s="2"/>
      <c r="E551" s="2"/>
    </row>
    <row r="552" spans="4:5">
      <c r="D552" s="2"/>
      <c r="E552" s="2"/>
    </row>
    <row r="553" spans="4:5">
      <c r="D553" s="2"/>
      <c r="E553" s="2"/>
    </row>
    <row r="554" spans="4:5">
      <c r="D554" s="2"/>
      <c r="E554" s="2"/>
    </row>
    <row r="555" spans="4:5">
      <c r="D555" s="2"/>
      <c r="E555" s="2"/>
    </row>
    <row r="556" spans="4:5">
      <c r="D556" s="2"/>
      <c r="E556" s="2"/>
    </row>
    <row r="557" spans="4:5">
      <c r="D557" s="2"/>
      <c r="E557" s="2"/>
    </row>
    <row r="558" spans="4:5">
      <c r="D558" s="2"/>
      <c r="E558" s="2"/>
    </row>
    <row r="559" spans="4:5">
      <c r="D559" s="2"/>
      <c r="E559" s="2"/>
    </row>
    <row r="560" spans="4:5">
      <c r="D560" s="2"/>
      <c r="E560" s="2"/>
    </row>
    <row r="561" spans="4:5">
      <c r="D561" s="2"/>
      <c r="E561" s="2"/>
    </row>
    <row r="562" spans="4:5">
      <c r="D562" s="2"/>
      <c r="E562" s="2"/>
    </row>
    <row r="563" spans="4:5">
      <c r="D563" s="2"/>
      <c r="E563" s="2"/>
    </row>
    <row r="564" spans="4:5">
      <c r="D564" s="2"/>
      <c r="E564" s="2"/>
    </row>
    <row r="565" spans="4:5">
      <c r="D565" s="2"/>
      <c r="E565" s="2"/>
    </row>
    <row r="566" spans="4:5">
      <c r="D566" s="2"/>
      <c r="E566" s="2"/>
    </row>
    <row r="567" spans="4:5">
      <c r="D567" s="2"/>
      <c r="E567" s="2"/>
    </row>
    <row r="568" spans="4:5">
      <c r="D568" s="2"/>
      <c r="E568" s="2"/>
    </row>
    <row r="569" spans="4:5">
      <c r="D569" s="2"/>
      <c r="E569" s="2"/>
    </row>
    <row r="570" spans="4:5">
      <c r="D570" s="2"/>
      <c r="E570" s="2"/>
    </row>
    <row r="571" spans="4:5">
      <c r="D571" s="2"/>
      <c r="E571" s="2"/>
    </row>
    <row r="572" spans="4:5">
      <c r="D572" s="2"/>
      <c r="E572" s="2"/>
    </row>
    <row r="573" spans="4:5">
      <c r="D573" s="2"/>
      <c r="E573" s="2"/>
    </row>
    <row r="574" spans="4:5">
      <c r="D574" s="2"/>
      <c r="E574" s="2"/>
    </row>
    <row r="575" spans="4:5">
      <c r="D575" s="2"/>
      <c r="E575" s="2"/>
    </row>
    <row r="576" spans="4:5">
      <c r="D576" s="2"/>
      <c r="E576" s="2"/>
    </row>
    <row r="577" spans="4:5">
      <c r="D577" s="2"/>
      <c r="E577" s="2"/>
    </row>
    <row r="578" spans="4:5">
      <c r="D578" s="2"/>
      <c r="E578" s="2"/>
    </row>
    <row r="579" spans="4:5">
      <c r="D579" s="2"/>
      <c r="E579" s="2"/>
    </row>
    <row r="580" spans="4:5">
      <c r="D580" s="2"/>
      <c r="E580" s="2"/>
    </row>
    <row r="581" spans="4:5">
      <c r="D581" s="2"/>
      <c r="E581" s="2"/>
    </row>
    <row r="582" spans="4:5">
      <c r="D582" s="2"/>
      <c r="E582" s="2"/>
    </row>
    <row r="583" spans="4:5">
      <c r="D583" s="2"/>
      <c r="E583" s="2"/>
    </row>
    <row r="584" spans="4:5">
      <c r="D584" s="2"/>
      <c r="E584" s="2"/>
    </row>
    <row r="585" spans="4:5">
      <c r="D585" s="2"/>
      <c r="E585" s="2"/>
    </row>
    <row r="586" spans="4:5">
      <c r="D586" s="2"/>
      <c r="E586" s="2"/>
    </row>
    <row r="587" spans="4:5">
      <c r="D587" s="2"/>
      <c r="E587" s="2"/>
    </row>
    <row r="588" spans="4:5">
      <c r="D588" s="2"/>
      <c r="E588" s="2"/>
    </row>
    <row r="589" spans="4:5">
      <c r="D589" s="2"/>
      <c r="E589" s="2"/>
    </row>
    <row r="590" spans="4:5">
      <c r="D590" s="2"/>
      <c r="E590" s="2"/>
    </row>
    <row r="591" spans="4:5">
      <c r="D591" s="2"/>
      <c r="E591" s="2"/>
    </row>
    <row r="592" spans="4:5">
      <c r="D592" s="2"/>
      <c r="E592" s="2"/>
    </row>
    <row r="593" spans="4:5">
      <c r="D593" s="2"/>
      <c r="E593" s="2"/>
    </row>
    <row r="594" spans="4:5">
      <c r="D594" s="2"/>
      <c r="E594" s="2"/>
    </row>
    <row r="595" spans="4:5">
      <c r="D595" s="2"/>
      <c r="E595" s="2"/>
    </row>
    <row r="596" spans="4:5">
      <c r="D596" s="2"/>
      <c r="E596" s="2"/>
    </row>
    <row r="597" spans="4:5">
      <c r="D597" s="2"/>
      <c r="E597" s="2"/>
    </row>
    <row r="598" spans="4:5">
      <c r="D598" s="2"/>
      <c r="E598" s="2"/>
    </row>
    <row r="599" spans="4:5">
      <c r="D599" s="2"/>
      <c r="E599" s="2"/>
    </row>
    <row r="600" spans="4:5">
      <c r="D600" s="2"/>
      <c r="E600" s="2"/>
    </row>
    <row r="601" spans="4:5">
      <c r="D601" s="2"/>
      <c r="E601" s="2"/>
    </row>
    <row r="602" spans="4:5">
      <c r="D602" s="2"/>
      <c r="E602" s="2"/>
    </row>
    <row r="603" spans="4:5">
      <c r="D603" s="2"/>
      <c r="E603" s="2"/>
    </row>
    <row r="604" spans="4:5">
      <c r="D604" s="2"/>
      <c r="E604" s="2"/>
    </row>
    <row r="605" spans="4:5">
      <c r="D605" s="2"/>
      <c r="E605" s="2"/>
    </row>
    <row r="606" spans="4:5">
      <c r="D606" s="2"/>
      <c r="E606" s="2"/>
    </row>
    <row r="607" spans="4:5">
      <c r="D607" s="2"/>
      <c r="E607" s="2"/>
    </row>
    <row r="608" spans="4:5">
      <c r="D608" s="2"/>
      <c r="E608" s="2"/>
    </row>
    <row r="609" spans="4:5">
      <c r="D609" s="2"/>
      <c r="E609" s="2"/>
    </row>
    <row r="610" spans="4:5">
      <c r="D610" s="2"/>
      <c r="E610" s="2"/>
    </row>
    <row r="611" spans="4:5">
      <c r="D611" s="2"/>
      <c r="E611" s="2"/>
    </row>
    <row r="612" spans="4:5">
      <c r="D612" s="2"/>
      <c r="E612" s="2"/>
    </row>
    <row r="613" spans="4:5">
      <c r="D613" s="2"/>
      <c r="E613" s="2"/>
    </row>
    <row r="614" spans="4:5">
      <c r="D614" s="2"/>
      <c r="E614" s="2"/>
    </row>
    <row r="615" spans="4:5">
      <c r="D615" s="2"/>
      <c r="E615" s="2"/>
    </row>
    <row r="616" spans="4:5">
      <c r="D616" s="2"/>
      <c r="E616" s="2"/>
    </row>
    <row r="617" spans="4:5">
      <c r="D617" s="2"/>
      <c r="E617" s="2"/>
    </row>
    <row r="618" spans="4:5">
      <c r="D618" s="2"/>
      <c r="E618" s="2"/>
    </row>
    <row r="619" spans="4:5">
      <c r="D619" s="2"/>
      <c r="E619" s="2"/>
    </row>
    <row r="620" spans="4:5">
      <c r="D620" s="2"/>
      <c r="E620" s="2"/>
    </row>
    <row r="621" spans="4:5">
      <c r="D621" s="2"/>
      <c r="E621" s="2"/>
    </row>
    <row r="622" spans="4:5">
      <c r="D622" s="2"/>
      <c r="E622" s="2"/>
    </row>
    <row r="623" spans="4:5">
      <c r="D623" s="2"/>
      <c r="E623" s="2"/>
    </row>
    <row r="624" spans="4:5">
      <c r="D624" s="2"/>
      <c r="E624" s="2"/>
    </row>
    <row r="625" spans="4:5">
      <c r="D625" s="2"/>
      <c r="E625" s="2"/>
    </row>
    <row r="626" spans="4:5">
      <c r="D626" s="2"/>
      <c r="E626" s="2"/>
    </row>
    <row r="627" spans="4:5">
      <c r="D627" s="2"/>
      <c r="E627" s="2"/>
    </row>
    <row r="628" spans="4:5">
      <c r="D628" s="2"/>
      <c r="E628" s="2"/>
    </row>
    <row r="629" spans="4:5">
      <c r="D629" s="2"/>
      <c r="E629" s="2"/>
    </row>
    <row r="630" spans="4:5">
      <c r="D630" s="2"/>
      <c r="E630" s="2"/>
    </row>
    <row r="631" spans="4:5">
      <c r="D631" s="2"/>
      <c r="E631" s="2"/>
    </row>
    <row r="632" spans="4:5">
      <c r="D632" s="2"/>
      <c r="E632" s="2"/>
    </row>
    <row r="633" spans="4:5">
      <c r="D633" s="2"/>
      <c r="E633" s="2"/>
    </row>
    <row r="634" spans="4:5">
      <c r="D634" s="2"/>
      <c r="E634" s="2"/>
    </row>
    <row r="635" spans="4:5">
      <c r="D635" s="2"/>
      <c r="E635" s="2"/>
    </row>
    <row r="636" spans="4:5">
      <c r="D636" s="2"/>
      <c r="E636" s="2"/>
    </row>
    <row r="637" spans="4:5">
      <c r="D637" s="2"/>
      <c r="E637" s="2"/>
    </row>
    <row r="638" spans="4:5">
      <c r="D638" s="2"/>
      <c r="E638" s="2"/>
    </row>
    <row r="639" spans="4:5">
      <c r="D639" s="2"/>
      <c r="E639" s="2"/>
    </row>
    <row r="640" spans="4:5">
      <c r="D640" s="2"/>
      <c r="E640" s="2"/>
    </row>
    <row r="641" spans="4:5">
      <c r="D641" s="2"/>
      <c r="E641" s="2"/>
    </row>
    <row r="642" spans="4:5">
      <c r="D642" s="2"/>
      <c r="E642" s="2"/>
    </row>
    <row r="643" spans="4:5">
      <c r="D643" s="2"/>
      <c r="E643" s="2"/>
    </row>
    <row r="644" spans="4:5">
      <c r="D644" s="2"/>
      <c r="E644" s="2"/>
    </row>
    <row r="645" spans="4:5">
      <c r="D645" s="2"/>
      <c r="E645" s="2"/>
    </row>
    <row r="646" spans="4:5">
      <c r="D646" s="2"/>
      <c r="E646" s="2"/>
    </row>
    <row r="647" spans="4:5">
      <c r="D647" s="2"/>
      <c r="E647" s="2"/>
    </row>
    <row r="648" spans="4:5">
      <c r="D648" s="2"/>
      <c r="E648" s="2"/>
    </row>
    <row r="649" spans="4:5">
      <c r="D649" s="2"/>
      <c r="E649" s="2"/>
    </row>
    <row r="650" spans="4:5">
      <c r="D650" s="2"/>
      <c r="E650" s="2"/>
    </row>
    <row r="651" spans="4:5">
      <c r="D651" s="2"/>
      <c r="E651" s="2"/>
    </row>
    <row r="652" spans="4:5">
      <c r="D652" s="2"/>
      <c r="E652" s="2"/>
    </row>
    <row r="653" spans="4:5">
      <c r="D653" s="2"/>
      <c r="E653" s="2"/>
    </row>
    <row r="654" spans="4:5">
      <c r="D654" s="2"/>
      <c r="E654" s="2"/>
    </row>
    <row r="655" spans="4:5">
      <c r="D655" s="2"/>
      <c r="E655" s="2"/>
    </row>
    <row r="656" spans="4:5">
      <c r="D656" s="2"/>
      <c r="E656" s="2"/>
    </row>
    <row r="657" spans="4:5">
      <c r="D657" s="2"/>
      <c r="E657" s="2"/>
    </row>
    <row r="658" spans="4:5">
      <c r="D658" s="2"/>
      <c r="E658" s="2"/>
    </row>
    <row r="659" spans="4:5">
      <c r="D659" s="2"/>
      <c r="E659" s="2"/>
    </row>
    <row r="660" spans="4:5">
      <c r="D660" s="2"/>
      <c r="E660" s="2"/>
    </row>
    <row r="661" spans="4:5">
      <c r="D661" s="2"/>
      <c r="E661" s="2"/>
    </row>
    <row r="662" spans="4:5">
      <c r="D662" s="2"/>
      <c r="E662" s="2"/>
    </row>
    <row r="663" spans="4:5">
      <c r="D663" s="2"/>
      <c r="E663" s="2"/>
    </row>
    <row r="664" spans="4:5">
      <c r="D664" s="2"/>
      <c r="E664" s="2"/>
    </row>
    <row r="665" spans="4:5">
      <c r="D665" s="2"/>
      <c r="E665" s="2"/>
    </row>
    <row r="666" spans="4:5">
      <c r="D666" s="2"/>
      <c r="E666" s="2"/>
    </row>
    <row r="667" spans="4:5">
      <c r="D667" s="2"/>
      <c r="E667" s="2"/>
    </row>
    <row r="668" spans="4:5">
      <c r="D668" s="2"/>
      <c r="E668" s="2"/>
    </row>
    <row r="669" spans="4:5">
      <c r="D669" s="2"/>
      <c r="E669" s="2"/>
    </row>
    <row r="670" spans="4:5">
      <c r="D670" s="2"/>
      <c r="E670" s="2"/>
    </row>
    <row r="671" spans="4:5">
      <c r="D671" s="2"/>
      <c r="E671" s="2"/>
    </row>
    <row r="672" spans="4:5">
      <c r="D672" s="2"/>
      <c r="E672" s="2"/>
    </row>
    <row r="673" spans="4:5">
      <c r="D673" s="2"/>
      <c r="E673" s="2"/>
    </row>
    <row r="674" spans="4:5">
      <c r="D674" s="2"/>
      <c r="E674" s="2"/>
    </row>
    <row r="675" spans="4:5">
      <c r="D675" s="2"/>
      <c r="E675" s="2"/>
    </row>
    <row r="676" spans="4:5">
      <c r="D676" s="2"/>
      <c r="E676" s="2"/>
    </row>
    <row r="677" spans="4:5">
      <c r="D677" s="2"/>
      <c r="E677" s="2"/>
    </row>
    <row r="678" spans="4:5">
      <c r="D678" s="2"/>
      <c r="E678" s="2"/>
    </row>
    <row r="679" spans="4:5">
      <c r="D679" s="2"/>
      <c r="E679" s="2"/>
    </row>
    <row r="680" spans="4:5">
      <c r="D680" s="2"/>
      <c r="E680" s="2"/>
    </row>
    <row r="681" spans="4:5">
      <c r="D681" s="2"/>
      <c r="E681" s="2"/>
    </row>
    <row r="682" spans="4:5">
      <c r="D682" s="2"/>
      <c r="E682" s="2"/>
    </row>
    <row r="683" spans="4:5">
      <c r="D683" s="2"/>
      <c r="E683" s="2"/>
    </row>
    <row r="684" spans="4:5">
      <c r="D684" s="2"/>
      <c r="E684" s="2"/>
    </row>
    <row r="685" spans="4:5">
      <c r="D685" s="2"/>
      <c r="E685" s="2"/>
    </row>
    <row r="686" spans="4:5">
      <c r="D686" s="2"/>
      <c r="E686" s="2"/>
    </row>
    <row r="687" spans="4:5">
      <c r="D687" s="2"/>
      <c r="E687" s="2"/>
    </row>
    <row r="688" spans="4:5">
      <c r="D688" s="2"/>
      <c r="E688" s="2"/>
    </row>
    <row r="689" spans="4:5">
      <c r="D689" s="2"/>
      <c r="E689" s="2"/>
    </row>
    <row r="690" spans="4:5">
      <c r="D690" s="2"/>
      <c r="E690" s="2"/>
    </row>
    <row r="691" spans="4:5">
      <c r="D691" s="2"/>
      <c r="E691" s="2"/>
    </row>
    <row r="692" spans="4:5">
      <c r="D692" s="2"/>
      <c r="E692" s="2"/>
    </row>
    <row r="693" spans="4:5">
      <c r="D693" s="2"/>
      <c r="E693" s="2"/>
    </row>
    <row r="694" spans="4:5">
      <c r="D694" s="2"/>
      <c r="E694" s="2"/>
    </row>
    <row r="695" spans="4:5">
      <c r="D695" s="2"/>
      <c r="E695" s="2"/>
    </row>
    <row r="696" spans="4:5">
      <c r="D696" s="2"/>
      <c r="E696" s="2"/>
    </row>
    <row r="697" spans="4:5">
      <c r="D697" s="2"/>
      <c r="E697" s="2"/>
    </row>
    <row r="698" spans="4:5">
      <c r="D698" s="2"/>
      <c r="E698" s="2"/>
    </row>
    <row r="699" spans="4:5">
      <c r="D699" s="2"/>
      <c r="E699" s="2"/>
    </row>
    <row r="700" spans="4:5">
      <c r="D700" s="2"/>
      <c r="E700" s="2"/>
    </row>
    <row r="701" spans="4:5">
      <c r="D701" s="2"/>
      <c r="E701" s="2"/>
    </row>
    <row r="702" spans="4:5">
      <c r="D702" s="2"/>
      <c r="E702" s="2"/>
    </row>
    <row r="703" spans="4:5">
      <c r="D703" s="2"/>
      <c r="E703" s="2"/>
    </row>
    <row r="704" spans="4:5">
      <c r="D704" s="2"/>
      <c r="E704" s="2"/>
    </row>
    <row r="705" spans="4:5">
      <c r="D705" s="2"/>
      <c r="E705" s="2"/>
    </row>
    <row r="706" spans="4:5">
      <c r="D706" s="2"/>
      <c r="E706" s="2"/>
    </row>
    <row r="707" spans="4:5">
      <c r="D707" s="2"/>
      <c r="E707" s="2"/>
    </row>
    <row r="708" spans="4:5">
      <c r="D708" s="2"/>
      <c r="E708" s="2"/>
    </row>
    <row r="709" spans="4:5">
      <c r="D709" s="2"/>
      <c r="E709" s="2"/>
    </row>
    <row r="710" spans="4:5">
      <c r="D710" s="2"/>
      <c r="E710" s="2"/>
    </row>
    <row r="711" spans="4:5">
      <c r="D711" s="2"/>
      <c r="E711" s="2"/>
    </row>
    <row r="712" spans="4:5">
      <c r="D712" s="2"/>
      <c r="E712" s="2"/>
    </row>
    <row r="713" spans="4:5">
      <c r="D713" s="2"/>
      <c r="E713" s="2"/>
    </row>
    <row r="714" spans="4:5">
      <c r="D714" s="2"/>
      <c r="E714" s="2"/>
    </row>
    <row r="715" spans="4:5">
      <c r="D715" s="2"/>
      <c r="E715" s="2"/>
    </row>
    <row r="716" spans="4:5">
      <c r="D716" s="2"/>
      <c r="E716" s="2"/>
    </row>
    <row r="717" spans="4:5">
      <c r="D717" s="2"/>
      <c r="E717" s="2"/>
    </row>
    <row r="718" spans="4:5">
      <c r="D718" s="2"/>
      <c r="E718" s="2"/>
    </row>
    <row r="719" spans="4:5">
      <c r="D719" s="2"/>
      <c r="E719" s="2"/>
    </row>
    <row r="720" spans="4:5">
      <c r="D720" s="2"/>
      <c r="E720" s="2"/>
    </row>
    <row r="721" spans="4:5">
      <c r="D721" s="2"/>
      <c r="E721" s="2"/>
    </row>
    <row r="722" spans="4:5">
      <c r="D722" s="2"/>
      <c r="E722" s="2"/>
    </row>
    <row r="723" spans="4:5">
      <c r="D723" s="2"/>
      <c r="E723" s="2"/>
    </row>
    <row r="724" spans="4:5">
      <c r="D724" s="2"/>
      <c r="E724" s="2"/>
    </row>
    <row r="725" spans="4:5">
      <c r="D725" s="2"/>
      <c r="E725" s="2"/>
    </row>
    <row r="726" spans="4:5">
      <c r="D726" s="2"/>
      <c r="E726" s="2"/>
    </row>
    <row r="727" spans="4:5">
      <c r="D727" s="2"/>
      <c r="E727" s="2"/>
    </row>
    <row r="728" spans="4:5">
      <c r="D728" s="2"/>
      <c r="E728" s="2"/>
    </row>
    <row r="729" spans="4:5">
      <c r="D729" s="2"/>
      <c r="E729" s="2"/>
    </row>
    <row r="730" spans="4:5">
      <c r="D730" s="2"/>
      <c r="E730" s="2"/>
    </row>
    <row r="731" spans="4:5">
      <c r="D731" s="2"/>
      <c r="E731" s="2"/>
    </row>
    <row r="732" spans="4:5">
      <c r="D732" s="2"/>
      <c r="E732" s="2"/>
    </row>
    <row r="733" spans="4:5">
      <c r="D733" s="2"/>
      <c r="E733" s="2"/>
    </row>
    <row r="734" spans="4:5">
      <c r="D734" s="2"/>
      <c r="E734" s="2"/>
    </row>
    <row r="735" spans="4:5">
      <c r="D735" s="2"/>
      <c r="E735" s="2"/>
    </row>
    <row r="736" spans="4:5">
      <c r="D736" s="2"/>
      <c r="E736" s="2"/>
    </row>
    <row r="737" spans="4:5">
      <c r="D737" s="2"/>
      <c r="E737" s="2"/>
    </row>
    <row r="738" spans="4:5">
      <c r="D738" s="2"/>
      <c r="E738" s="2"/>
    </row>
    <row r="739" spans="4:5">
      <c r="D739" s="2"/>
      <c r="E739" s="2"/>
    </row>
    <row r="740" spans="4:5">
      <c r="D740" s="2"/>
      <c r="E740" s="2"/>
    </row>
    <row r="741" spans="4:5">
      <c r="D741" s="2"/>
      <c r="E741" s="2"/>
    </row>
    <row r="742" spans="4:5">
      <c r="D742" s="2"/>
      <c r="E742" s="2"/>
    </row>
    <row r="743" spans="4:5">
      <c r="D743" s="2"/>
      <c r="E743" s="2"/>
    </row>
    <row r="744" spans="4:5">
      <c r="D744" s="2"/>
      <c r="E744" s="2"/>
    </row>
    <row r="745" spans="4:5">
      <c r="D745" s="2"/>
      <c r="E745" s="2"/>
    </row>
    <row r="746" spans="4:5">
      <c r="D746" s="2"/>
      <c r="E746" s="2"/>
    </row>
    <row r="747" spans="4:5">
      <c r="D747" s="2"/>
      <c r="E747" s="2"/>
    </row>
    <row r="748" spans="4:5">
      <c r="D748" s="2"/>
      <c r="E748" s="2"/>
    </row>
    <row r="749" spans="4:5">
      <c r="D749" s="2"/>
      <c r="E749" s="2"/>
    </row>
    <row r="750" spans="4:5">
      <c r="D750" s="2"/>
      <c r="E750" s="2"/>
    </row>
    <row r="751" spans="4:5">
      <c r="D751" s="2"/>
      <c r="E751" s="2"/>
    </row>
    <row r="752" spans="4:5">
      <c r="D752" s="2"/>
      <c r="E752" s="2"/>
    </row>
    <row r="753" spans="4:5">
      <c r="D753" s="2"/>
      <c r="E753" s="2"/>
    </row>
    <row r="754" spans="4:5">
      <c r="D754" s="2"/>
      <c r="E754" s="2"/>
    </row>
    <row r="755" spans="4:5">
      <c r="D755" s="2"/>
      <c r="E755" s="2"/>
    </row>
    <row r="756" spans="4:5">
      <c r="D756" s="2"/>
      <c r="E756" s="2"/>
    </row>
    <row r="757" spans="4:5">
      <c r="D757" s="2"/>
      <c r="E757" s="2"/>
    </row>
    <row r="758" spans="4:5">
      <c r="D758" s="2"/>
      <c r="E758" s="2"/>
    </row>
    <row r="759" spans="4:5">
      <c r="D759" s="2"/>
      <c r="E759" s="2"/>
    </row>
    <row r="760" spans="4:5">
      <c r="D760" s="2"/>
      <c r="E760" s="2"/>
    </row>
    <row r="761" spans="4:5">
      <c r="D761" s="2"/>
      <c r="E761" s="2"/>
    </row>
    <row r="762" spans="4:5">
      <c r="D762" s="2"/>
      <c r="E762" s="2"/>
    </row>
    <row r="763" spans="4:5">
      <c r="D763" s="2"/>
      <c r="E763" s="2"/>
    </row>
    <row r="764" spans="4:5">
      <c r="D764" s="2"/>
      <c r="E764" s="2"/>
    </row>
    <row r="765" spans="4:5">
      <c r="D765" s="2"/>
      <c r="E765" s="2"/>
    </row>
    <row r="766" spans="4:5">
      <c r="D766" s="2"/>
      <c r="E766" s="2"/>
    </row>
    <row r="767" spans="4:5">
      <c r="D767" s="2"/>
      <c r="E767" s="2"/>
    </row>
    <row r="768" spans="4:5">
      <c r="D768" s="2"/>
      <c r="E768" s="2"/>
    </row>
    <row r="769" spans="4:5">
      <c r="D769" s="2"/>
      <c r="E769" s="2"/>
    </row>
    <row r="770" spans="4:5">
      <c r="D770" s="2"/>
      <c r="E770" s="2"/>
    </row>
    <row r="771" spans="4:5">
      <c r="D771" s="2"/>
      <c r="E771" s="2"/>
    </row>
    <row r="772" spans="4:5">
      <c r="D772" s="2"/>
      <c r="E772" s="2"/>
    </row>
    <row r="773" spans="4:5">
      <c r="D773" s="2"/>
      <c r="E773" s="2"/>
    </row>
    <row r="774" spans="4:5">
      <c r="D774" s="2"/>
      <c r="E774" s="2"/>
    </row>
    <row r="775" spans="4:5">
      <c r="D775" s="2"/>
      <c r="E775" s="2"/>
    </row>
    <row r="776" spans="4:5">
      <c r="D776" s="2"/>
      <c r="E776" s="2"/>
    </row>
    <row r="777" spans="4:5">
      <c r="D777" s="2"/>
      <c r="E777" s="2"/>
    </row>
    <row r="778" spans="4:5">
      <c r="D778" s="2"/>
      <c r="E778" s="2"/>
    </row>
    <row r="779" spans="4:5">
      <c r="D779" s="2"/>
      <c r="E779" s="2"/>
    </row>
    <row r="780" spans="4:5">
      <c r="D780" s="2"/>
      <c r="E780" s="2"/>
    </row>
    <row r="781" spans="4:5">
      <c r="D781" s="2"/>
      <c r="E781" s="2"/>
    </row>
    <row r="782" spans="4:5">
      <c r="D782" s="2"/>
      <c r="E782" s="2"/>
    </row>
    <row r="783" spans="4:5">
      <c r="D783" s="2"/>
      <c r="E783" s="2"/>
    </row>
    <row r="784" spans="4:5">
      <c r="D784" s="2"/>
      <c r="E784" s="2"/>
    </row>
    <row r="785" spans="4:5">
      <c r="D785" s="2"/>
      <c r="E785" s="2"/>
    </row>
    <row r="786" spans="4:5">
      <c r="D786" s="2"/>
      <c r="E786" s="2"/>
    </row>
    <row r="787" spans="4:5">
      <c r="D787" s="2"/>
      <c r="E787" s="2"/>
    </row>
    <row r="788" spans="4:5">
      <c r="D788" s="2"/>
      <c r="E788" s="2"/>
    </row>
    <row r="789" spans="4:5">
      <c r="D789" s="2"/>
      <c r="E789" s="2"/>
    </row>
    <row r="790" spans="4:5">
      <c r="D790" s="2"/>
      <c r="E790" s="2"/>
    </row>
    <row r="791" spans="4:5">
      <c r="D791" s="2"/>
      <c r="E791" s="2"/>
    </row>
    <row r="792" spans="4:5">
      <c r="D792" s="2"/>
      <c r="E792" s="2"/>
    </row>
    <row r="793" spans="4:5">
      <c r="D793" s="2"/>
      <c r="E793" s="2"/>
    </row>
    <row r="794" spans="4:5">
      <c r="D794" s="2"/>
      <c r="E794" s="2"/>
    </row>
    <row r="795" spans="4:5">
      <c r="D795" s="2"/>
      <c r="E795" s="2"/>
    </row>
    <row r="796" spans="4:5">
      <c r="D796" s="2"/>
      <c r="E796" s="2"/>
    </row>
    <row r="797" spans="4:5">
      <c r="D797" s="2"/>
      <c r="E797" s="2"/>
    </row>
    <row r="798" spans="4:5">
      <c r="D798" s="2"/>
      <c r="E798" s="2"/>
    </row>
    <row r="799" spans="4:5">
      <c r="D799" s="2"/>
      <c r="E799" s="2"/>
    </row>
    <row r="800" spans="4:5">
      <c r="D800" s="2"/>
      <c r="E800" s="2"/>
    </row>
    <row r="801" spans="4:5">
      <c r="D801" s="2"/>
      <c r="E801" s="2"/>
    </row>
    <row r="802" spans="4:5">
      <c r="D802" s="2"/>
      <c r="E802" s="2"/>
    </row>
    <row r="803" spans="4:5">
      <c r="D803" s="2"/>
      <c r="E803" s="2"/>
    </row>
    <row r="804" spans="4:5">
      <c r="D804" s="2"/>
      <c r="E804" s="2"/>
    </row>
    <row r="805" spans="4:5">
      <c r="D805" s="2"/>
      <c r="E805" s="2"/>
    </row>
    <row r="806" spans="4:5">
      <c r="D806" s="2"/>
      <c r="E806" s="2"/>
    </row>
    <row r="807" spans="4:5">
      <c r="D807" s="2"/>
      <c r="E807" s="2"/>
    </row>
    <row r="808" spans="4:5">
      <c r="D808" s="2"/>
      <c r="E808" s="2"/>
    </row>
    <row r="809" spans="4:5">
      <c r="D809" s="2"/>
      <c r="E809" s="2"/>
    </row>
    <row r="810" spans="4:5">
      <c r="D810" s="2"/>
      <c r="E810" s="2"/>
    </row>
    <row r="811" spans="4:5">
      <c r="D811" s="2"/>
      <c r="E811" s="2"/>
    </row>
    <row r="812" spans="4:5">
      <c r="D812" s="2"/>
      <c r="E812" s="2"/>
    </row>
    <row r="813" spans="4:5">
      <c r="D813" s="2"/>
      <c r="E813" s="2"/>
    </row>
    <row r="814" spans="4:5">
      <c r="D814" s="2"/>
      <c r="E814" s="2"/>
    </row>
    <row r="815" spans="4:5">
      <c r="D815" s="2"/>
      <c r="E815" s="2"/>
    </row>
    <row r="816" spans="4:5">
      <c r="D816" s="2"/>
      <c r="E816" s="2"/>
    </row>
    <row r="817" spans="4:5">
      <c r="D817" s="2"/>
      <c r="E817" s="2"/>
    </row>
    <row r="818" spans="4:5">
      <c r="D818" s="2"/>
      <c r="E818" s="2"/>
    </row>
    <row r="819" spans="4:5">
      <c r="D819" s="2"/>
      <c r="E819" s="2"/>
    </row>
    <row r="820" spans="4:5">
      <c r="D820" s="2"/>
      <c r="E820" s="2"/>
    </row>
    <row r="821" spans="4:5">
      <c r="D821" s="2"/>
      <c r="E821" s="2"/>
    </row>
    <row r="822" spans="4:5">
      <c r="D822" s="2"/>
      <c r="E822" s="2"/>
    </row>
    <row r="823" spans="4:5">
      <c r="D823" s="2"/>
      <c r="E823" s="2"/>
    </row>
    <row r="824" spans="4:5">
      <c r="D824" s="2"/>
      <c r="E824" s="2"/>
    </row>
    <row r="825" spans="4:5">
      <c r="D825" s="2"/>
      <c r="E825" s="2"/>
    </row>
    <row r="826" spans="4:5">
      <c r="D826" s="2"/>
      <c r="E826" s="2"/>
    </row>
    <row r="827" spans="4:5">
      <c r="D827" s="2"/>
      <c r="E827" s="2"/>
    </row>
    <row r="828" spans="4:5">
      <c r="D828" s="2"/>
      <c r="E828" s="2"/>
    </row>
    <row r="829" spans="4:5">
      <c r="D829" s="2"/>
      <c r="E829" s="2"/>
    </row>
    <row r="830" spans="4:5">
      <c r="D830" s="2"/>
      <c r="E830" s="2"/>
    </row>
    <row r="831" spans="4:5">
      <c r="D831" s="2"/>
      <c r="E831" s="2"/>
    </row>
    <row r="832" spans="4:5">
      <c r="D832" s="2"/>
      <c r="E832" s="2"/>
    </row>
    <row r="833" spans="4:5">
      <c r="D833" s="2"/>
      <c r="E833" s="2"/>
    </row>
    <row r="834" spans="4:5">
      <c r="D834" s="2"/>
      <c r="E834" s="2"/>
    </row>
    <row r="835" spans="4:5">
      <c r="D835" s="2"/>
      <c r="E835" s="2"/>
    </row>
    <row r="836" spans="4:5">
      <c r="D836" s="2"/>
      <c r="E836" s="2"/>
    </row>
    <row r="837" spans="4:5">
      <c r="D837" s="2"/>
      <c r="E837" s="2"/>
    </row>
    <row r="838" spans="4:5">
      <c r="D838" s="2"/>
      <c r="E838" s="2"/>
    </row>
    <row r="839" spans="4:5">
      <c r="D839" s="2"/>
      <c r="E839" s="2"/>
    </row>
    <row r="840" spans="4:5">
      <c r="D840" s="2"/>
      <c r="E840" s="2"/>
    </row>
    <row r="841" spans="4:5">
      <c r="D841" s="2"/>
      <c r="E841" s="2"/>
    </row>
    <row r="842" spans="4:5">
      <c r="D842" s="2"/>
      <c r="E842" s="2"/>
    </row>
    <row r="843" spans="4:5">
      <c r="D843" s="2"/>
      <c r="E843" s="2"/>
    </row>
    <row r="844" spans="4:5">
      <c r="D844" s="2"/>
      <c r="E844" s="2"/>
    </row>
    <row r="845" spans="4:5">
      <c r="D845" s="2"/>
      <c r="E845" s="2"/>
    </row>
    <row r="846" spans="4:5">
      <c r="D846" s="2"/>
      <c r="E846" s="2"/>
    </row>
    <row r="847" spans="4:5">
      <c r="D847" s="2"/>
      <c r="E847" s="2"/>
    </row>
    <row r="848" spans="4:5">
      <c r="D848" s="2"/>
      <c r="E848" s="2"/>
    </row>
    <row r="849" spans="4:5">
      <c r="D849" s="2"/>
      <c r="E849" s="2"/>
    </row>
    <row r="850" spans="4:5">
      <c r="D850" s="2"/>
      <c r="E850" s="2"/>
    </row>
    <row r="851" spans="4:5">
      <c r="D851" s="2"/>
      <c r="E851" s="2"/>
    </row>
    <row r="852" spans="4:5">
      <c r="D852" s="2"/>
      <c r="E852" s="2"/>
    </row>
    <row r="853" spans="4:5">
      <c r="D853" s="2"/>
      <c r="E853" s="2"/>
    </row>
    <row r="854" spans="4:5">
      <c r="D854" s="2"/>
      <c r="E854" s="2"/>
    </row>
    <row r="855" spans="4:5">
      <c r="D855" s="2"/>
      <c r="E855" s="2"/>
    </row>
    <row r="856" spans="4:5">
      <c r="D856" s="2"/>
      <c r="E856" s="2"/>
    </row>
    <row r="857" spans="4:5">
      <c r="D857" s="2"/>
      <c r="E857" s="2"/>
    </row>
    <row r="858" spans="4:5">
      <c r="D858" s="2"/>
      <c r="E858" s="2"/>
    </row>
    <row r="859" spans="4:5">
      <c r="D859" s="2"/>
      <c r="E859" s="2"/>
    </row>
    <row r="860" spans="4:5">
      <c r="D860" s="2"/>
      <c r="E860" s="2"/>
    </row>
    <row r="861" spans="4:5">
      <c r="D861" s="2"/>
      <c r="E861" s="2"/>
    </row>
    <row r="862" spans="4:5">
      <c r="D862" s="2"/>
      <c r="E862" s="2"/>
    </row>
    <row r="863" spans="4:5">
      <c r="D863" s="2"/>
      <c r="E863" s="2"/>
    </row>
    <row r="864" spans="4:5">
      <c r="D864" s="2"/>
      <c r="E864" s="2"/>
    </row>
    <row r="865" spans="4:5">
      <c r="D865" s="2"/>
      <c r="E865" s="2"/>
    </row>
    <row r="866" spans="4:5">
      <c r="D866" s="2"/>
      <c r="E866" s="2"/>
    </row>
    <row r="867" spans="4:5">
      <c r="D867" s="2"/>
      <c r="E867" s="2"/>
    </row>
    <row r="868" spans="4:5">
      <c r="D868" s="2"/>
      <c r="E868" s="2"/>
    </row>
    <row r="869" spans="4:5">
      <c r="D869" s="2"/>
      <c r="E869" s="2"/>
    </row>
    <row r="870" spans="4:5">
      <c r="D870" s="2"/>
      <c r="E870" s="2"/>
    </row>
    <row r="871" spans="4:5">
      <c r="D871" s="2"/>
      <c r="E871" s="2"/>
    </row>
    <row r="872" spans="4:5">
      <c r="D872" s="2"/>
      <c r="E872" s="2"/>
    </row>
    <row r="873" spans="4:5">
      <c r="D873" s="2"/>
      <c r="E873" s="2"/>
    </row>
    <row r="874" spans="4:5">
      <c r="D874" s="2"/>
      <c r="E874" s="2"/>
    </row>
    <row r="875" spans="4:5">
      <c r="D875" s="2"/>
      <c r="E875" s="2"/>
    </row>
    <row r="876" spans="4:5">
      <c r="D876" s="2"/>
      <c r="E876" s="2"/>
    </row>
    <row r="877" spans="4:5">
      <c r="D877" s="2"/>
      <c r="E877" s="2"/>
    </row>
    <row r="878" spans="4:5">
      <c r="D878" s="2"/>
      <c r="E878" s="2"/>
    </row>
    <row r="879" spans="4:5">
      <c r="D879" s="2"/>
      <c r="E879" s="2"/>
    </row>
    <row r="880" spans="4:5">
      <c r="D880" s="2"/>
      <c r="E880" s="2"/>
    </row>
    <row r="881" spans="4:5">
      <c r="D881" s="2"/>
      <c r="E881" s="2"/>
    </row>
    <row r="882" spans="4:5">
      <c r="D882" s="2"/>
      <c r="E882" s="2"/>
    </row>
    <row r="883" spans="4:5">
      <c r="D883" s="2"/>
      <c r="E883" s="2"/>
    </row>
    <row r="884" spans="4:5">
      <c r="D884" s="2"/>
      <c r="E884" s="2"/>
    </row>
    <row r="885" spans="4:5">
      <c r="D885" s="2"/>
      <c r="E885" s="2"/>
    </row>
    <row r="886" spans="4:5">
      <c r="D886" s="2"/>
      <c r="E886" s="2"/>
    </row>
    <row r="887" spans="4:5">
      <c r="D887" s="2"/>
      <c r="E887" s="2"/>
    </row>
    <row r="888" spans="4:5">
      <c r="D888" s="2"/>
      <c r="E888" s="2"/>
    </row>
    <row r="889" spans="4:5">
      <c r="D889" s="2"/>
      <c r="E889" s="2"/>
    </row>
    <row r="890" spans="4:5">
      <c r="D890" s="2"/>
      <c r="E890" s="2"/>
    </row>
    <row r="891" spans="4:5">
      <c r="D891" s="2"/>
      <c r="E891" s="2"/>
    </row>
    <row r="892" spans="4:5">
      <c r="D892" s="2"/>
      <c r="E892" s="2"/>
    </row>
    <row r="893" spans="4:5">
      <c r="D893" s="2"/>
      <c r="E893" s="2"/>
    </row>
    <row r="894" spans="4:5">
      <c r="D894" s="2"/>
      <c r="E894" s="2"/>
    </row>
    <row r="895" spans="4:5">
      <c r="D895" s="2"/>
      <c r="E895" s="2"/>
    </row>
    <row r="896" spans="4:5">
      <c r="D896" s="2"/>
      <c r="E896" s="2"/>
    </row>
    <row r="897" spans="4:5">
      <c r="D897" s="2"/>
      <c r="E897" s="2"/>
    </row>
    <row r="898" spans="4:5">
      <c r="D898" s="2"/>
      <c r="E898" s="2"/>
    </row>
    <row r="899" spans="4:5">
      <c r="D899" s="2"/>
      <c r="E899" s="2"/>
    </row>
    <row r="900" spans="4:5">
      <c r="D900" s="2"/>
      <c r="E900" s="2"/>
    </row>
    <row r="901" spans="4:5">
      <c r="D901" s="2"/>
      <c r="E901" s="2"/>
    </row>
    <row r="902" spans="4:5">
      <c r="D902" s="2"/>
      <c r="E902" s="2"/>
    </row>
    <row r="903" spans="4:5">
      <c r="D903" s="2"/>
      <c r="E903" s="2"/>
    </row>
    <row r="904" spans="4:5">
      <c r="D904" s="2"/>
      <c r="E904" s="2"/>
    </row>
    <row r="905" spans="4:5">
      <c r="D905" s="2"/>
      <c r="E905" s="2"/>
    </row>
    <row r="906" spans="4:5">
      <c r="D906" s="2"/>
      <c r="E906" s="2"/>
    </row>
    <row r="907" spans="4:5">
      <c r="D907" s="2"/>
      <c r="E907" s="2"/>
    </row>
    <row r="908" spans="4:5">
      <c r="D908" s="2"/>
      <c r="E908" s="2"/>
    </row>
    <row r="909" spans="4:5">
      <c r="D909" s="2"/>
      <c r="E909" s="2"/>
    </row>
    <row r="910" spans="4:5">
      <c r="D910" s="2"/>
      <c r="E910" s="2"/>
    </row>
    <row r="911" spans="4:5">
      <c r="D911" s="2"/>
      <c r="E911" s="2"/>
    </row>
    <row r="912" spans="4:5">
      <c r="D912" s="2"/>
      <c r="E912" s="2"/>
    </row>
    <row r="913" spans="4:5">
      <c r="D913" s="2"/>
      <c r="E913" s="2"/>
    </row>
    <row r="914" spans="4:5">
      <c r="D914" s="2"/>
      <c r="E914" s="2"/>
    </row>
    <row r="915" spans="4:5">
      <c r="D915" s="2"/>
      <c r="E915" s="2"/>
    </row>
    <row r="916" spans="4:5">
      <c r="D916" s="2"/>
      <c r="E916" s="2"/>
    </row>
    <row r="917" spans="4:5">
      <c r="D917" s="2"/>
      <c r="E917" s="2"/>
    </row>
    <row r="918" spans="4:5">
      <c r="D918" s="2"/>
      <c r="E918" s="2"/>
    </row>
    <row r="919" spans="4:5">
      <c r="D919" s="2"/>
      <c r="E919" s="2"/>
    </row>
    <row r="920" spans="4:5">
      <c r="D920" s="2"/>
      <c r="E920" s="2"/>
    </row>
    <row r="921" spans="4:5">
      <c r="D921" s="2"/>
      <c r="E921" s="2"/>
    </row>
    <row r="922" spans="4:5">
      <c r="D922" s="2"/>
      <c r="E922" s="2"/>
    </row>
    <row r="923" spans="4:5">
      <c r="D923" s="2"/>
      <c r="E923" s="2"/>
    </row>
    <row r="924" spans="4:5">
      <c r="D924" s="2"/>
      <c r="E924" s="2"/>
    </row>
    <row r="925" spans="4:5">
      <c r="D925" s="2"/>
      <c r="E925" s="2"/>
    </row>
    <row r="926" spans="4:5">
      <c r="D926" s="2"/>
      <c r="E926" s="2"/>
    </row>
    <row r="927" spans="4:5">
      <c r="D927" s="2"/>
      <c r="E927" s="2"/>
    </row>
    <row r="928" spans="4:5">
      <c r="D928" s="2"/>
      <c r="E928" s="2"/>
    </row>
    <row r="929" spans="4:5">
      <c r="D929" s="2"/>
      <c r="E929" s="2"/>
    </row>
    <row r="930" spans="4:5">
      <c r="D930" s="2"/>
      <c r="E930" s="2"/>
    </row>
    <row r="931" spans="4:5">
      <c r="D931" s="2"/>
      <c r="E931" s="2"/>
    </row>
    <row r="932" spans="4:5">
      <c r="D932" s="2"/>
      <c r="E932" s="2"/>
    </row>
    <row r="933" spans="4:5">
      <c r="D933" s="2"/>
      <c r="E933" s="2"/>
    </row>
    <row r="934" spans="4:5">
      <c r="D934" s="2"/>
      <c r="E934" s="2"/>
    </row>
    <row r="935" spans="4:5">
      <c r="D935" s="2"/>
      <c r="E935" s="2"/>
    </row>
    <row r="936" spans="4:5">
      <c r="D936" s="2"/>
      <c r="E936" s="2"/>
    </row>
    <row r="937" spans="4:5">
      <c r="D937" s="2"/>
      <c r="E937" s="2"/>
    </row>
    <row r="938" spans="4:5">
      <c r="D938" s="2"/>
      <c r="E938" s="2"/>
    </row>
    <row r="939" spans="4:5">
      <c r="D939" s="2"/>
      <c r="E939" s="2"/>
    </row>
    <row r="940" spans="4:5">
      <c r="D940" s="2"/>
      <c r="E940" s="2"/>
    </row>
    <row r="941" spans="4:5">
      <c r="D941" s="2"/>
      <c r="E941" s="2"/>
    </row>
    <row r="942" spans="4:5">
      <c r="D942" s="2"/>
      <c r="E942" s="2"/>
    </row>
    <row r="943" spans="4:5">
      <c r="D943" s="2"/>
      <c r="E943" s="2"/>
    </row>
    <row r="944" spans="4:5">
      <c r="D944" s="2"/>
      <c r="E944" s="2"/>
    </row>
    <row r="945" spans="4:5">
      <c r="D945" s="2"/>
      <c r="E945" s="2"/>
    </row>
    <row r="946" spans="4:5">
      <c r="D946" s="2"/>
      <c r="E946" s="2"/>
    </row>
    <row r="947" spans="4:5">
      <c r="D947" s="2"/>
      <c r="E947" s="2"/>
    </row>
    <row r="948" spans="4:5">
      <c r="D948" s="2"/>
      <c r="E948" s="2"/>
    </row>
    <row r="949" spans="4:5">
      <c r="D949" s="2"/>
      <c r="E949" s="2"/>
    </row>
    <row r="950" spans="4:5">
      <c r="D950" s="2"/>
      <c r="E950" s="2"/>
    </row>
    <row r="951" spans="4:5">
      <c r="D951" s="2"/>
      <c r="E951" s="2"/>
    </row>
    <row r="952" spans="4:5">
      <c r="D952" s="2"/>
      <c r="E952" s="2"/>
    </row>
    <row r="953" spans="4:5">
      <c r="D953" s="2"/>
      <c r="E953" s="2"/>
    </row>
    <row r="954" spans="4:5">
      <c r="D954" s="2"/>
      <c r="E954" s="2"/>
    </row>
    <row r="955" spans="4:5">
      <c r="D955" s="2"/>
      <c r="E955" s="2"/>
    </row>
    <row r="956" spans="4:5">
      <c r="D956" s="2"/>
      <c r="E956" s="2"/>
    </row>
    <row r="957" spans="4:5">
      <c r="D957" s="2"/>
      <c r="E957" s="2"/>
    </row>
    <row r="958" spans="4:5">
      <c r="D958" s="2"/>
      <c r="E958" s="2"/>
    </row>
    <row r="959" spans="4:5">
      <c r="D959" s="2"/>
      <c r="E959" s="2"/>
    </row>
    <row r="960" spans="4:5">
      <c r="D960" s="2"/>
      <c r="E960" s="2"/>
    </row>
    <row r="961" spans="4:5">
      <c r="D961" s="2"/>
      <c r="E961" s="2"/>
    </row>
    <row r="962" spans="4:5">
      <c r="D962" s="2"/>
      <c r="E962" s="2"/>
    </row>
    <row r="963" spans="4:5">
      <c r="D963" s="2"/>
      <c r="E963" s="2"/>
    </row>
    <row r="964" spans="4:5">
      <c r="D964" s="2"/>
      <c r="E964" s="2"/>
    </row>
    <row r="965" spans="4:5">
      <c r="D965" s="2"/>
      <c r="E965" s="2"/>
    </row>
    <row r="966" spans="4:5">
      <c r="D966" s="2"/>
      <c r="E966" s="2"/>
    </row>
    <row r="967" spans="4:5">
      <c r="D967" s="2"/>
      <c r="E967" s="2"/>
    </row>
    <row r="968" spans="4:5">
      <c r="D968" s="2"/>
      <c r="E968" s="2"/>
    </row>
    <row r="969" spans="4:5">
      <c r="D969" s="2"/>
      <c r="E969" s="2"/>
    </row>
    <row r="970" spans="4:5">
      <c r="D970" s="2"/>
      <c r="E970" s="2"/>
    </row>
    <row r="971" spans="4:5">
      <c r="D971" s="2"/>
      <c r="E971" s="2"/>
    </row>
    <row r="972" spans="4:5">
      <c r="D972" s="2"/>
      <c r="E972" s="2"/>
    </row>
    <row r="973" spans="4:5">
      <c r="D973" s="2"/>
      <c r="E973" s="2"/>
    </row>
    <row r="974" spans="4:5">
      <c r="D974" s="2"/>
      <c r="E974" s="2"/>
    </row>
    <row r="975" spans="4:5">
      <c r="D975" s="2"/>
      <c r="E975" s="2"/>
    </row>
    <row r="976" spans="4:5">
      <c r="D976" s="2"/>
      <c r="E976" s="2"/>
    </row>
    <row r="977" spans="4:5">
      <c r="D977" s="2"/>
      <c r="E977" s="2"/>
    </row>
    <row r="978" spans="4:5">
      <c r="D978" s="2"/>
      <c r="E978" s="2"/>
    </row>
    <row r="979" spans="4:5">
      <c r="D979" s="2"/>
      <c r="E979" s="2"/>
    </row>
    <row r="980" spans="4:5">
      <c r="D980" s="2"/>
      <c r="E980" s="2"/>
    </row>
    <row r="981" spans="4:5">
      <c r="D981" s="2"/>
      <c r="E981" s="2"/>
    </row>
    <row r="982" spans="4:5">
      <c r="D982" s="2"/>
      <c r="E982" s="2"/>
    </row>
    <row r="983" spans="4:5">
      <c r="D983" s="2"/>
      <c r="E983" s="2"/>
    </row>
    <row r="984" spans="4:5">
      <c r="D984" s="2"/>
      <c r="E984" s="2"/>
    </row>
    <row r="985" spans="4:5">
      <c r="D985" s="2"/>
      <c r="E985" s="2"/>
    </row>
    <row r="986" spans="4:5">
      <c r="D986" s="2"/>
      <c r="E986" s="2"/>
    </row>
    <row r="987" spans="4:5">
      <c r="D987" s="2"/>
      <c r="E987" s="2"/>
    </row>
    <row r="988" spans="4:5">
      <c r="D988" s="2"/>
      <c r="E988" s="2"/>
    </row>
    <row r="989" spans="4:5">
      <c r="D989" s="2"/>
      <c r="E989" s="2"/>
    </row>
    <row r="990" spans="4:5">
      <c r="D990" s="2"/>
      <c r="E990" s="2"/>
    </row>
    <row r="991" spans="4:5">
      <c r="D991" s="2"/>
      <c r="E991" s="2"/>
    </row>
    <row r="992" spans="4:5">
      <c r="D992" s="2"/>
      <c r="E992" s="2"/>
    </row>
    <row r="993" spans="4:5">
      <c r="D993" s="2"/>
      <c r="E993" s="2"/>
    </row>
    <row r="994" spans="4:5">
      <c r="D994" s="2"/>
      <c r="E994" s="2"/>
    </row>
    <row r="995" spans="4:5">
      <c r="D995" s="2"/>
      <c r="E995" s="2"/>
    </row>
    <row r="996" spans="4:5">
      <c r="D996" s="2"/>
      <c r="E996" s="2"/>
    </row>
    <row r="997" spans="4:5">
      <c r="D997" s="2"/>
      <c r="E997" s="2"/>
    </row>
    <row r="998" spans="4:5">
      <c r="D998" s="2"/>
      <c r="E998" s="2"/>
    </row>
    <row r="999" spans="4:5">
      <c r="D999" s="2"/>
      <c r="E999" s="2"/>
    </row>
    <row r="1000" spans="4:5">
      <c r="D1000" s="2"/>
      <c r="E1000" s="2"/>
    </row>
    <row r="1001" spans="4:5">
      <c r="D1001" s="2"/>
      <c r="E1001" s="2"/>
    </row>
    <row r="1002" spans="4:5">
      <c r="D1002" s="2"/>
      <c r="E1002" s="2"/>
    </row>
    <row r="1003" spans="4:5">
      <c r="D1003" s="2"/>
      <c r="E1003" s="2"/>
    </row>
    <row r="1004" spans="4:5">
      <c r="D1004" s="2"/>
      <c r="E1004" s="2"/>
    </row>
    <row r="1005" spans="4:5">
      <c r="D1005" s="2"/>
      <c r="E1005" s="2"/>
    </row>
    <row r="1006" spans="4:5">
      <c r="D1006" s="2"/>
      <c r="E1006" s="2"/>
    </row>
    <row r="1007" spans="4:5">
      <c r="D1007" s="2"/>
      <c r="E1007" s="2"/>
    </row>
    <row r="1008" spans="4:5">
      <c r="D1008" s="2"/>
      <c r="E1008" s="2"/>
    </row>
    <row r="1009" spans="4:5">
      <c r="D1009" s="2"/>
      <c r="E1009" s="2"/>
    </row>
    <row r="1010" spans="4:5">
      <c r="D1010" s="2"/>
      <c r="E1010" s="2"/>
    </row>
    <row r="1011" spans="4:5">
      <c r="D1011" s="2"/>
      <c r="E1011" s="2"/>
    </row>
    <row r="1012" spans="4:5">
      <c r="D1012" s="2"/>
      <c r="E1012" s="2"/>
    </row>
    <row r="1013" spans="4:5">
      <c r="D1013" s="2"/>
      <c r="E1013" s="2"/>
    </row>
    <row r="1014" spans="4:5">
      <c r="D1014" s="2"/>
      <c r="E1014" s="2"/>
    </row>
    <row r="1015" spans="4:5">
      <c r="D1015" s="2"/>
      <c r="E1015" s="2"/>
    </row>
    <row r="1016" spans="4:5">
      <c r="D1016" s="2"/>
      <c r="E1016" s="2"/>
    </row>
    <row r="1017" spans="4:5">
      <c r="D1017" s="2"/>
      <c r="E1017" s="2"/>
    </row>
    <row r="1018" spans="4:5">
      <c r="D1018" s="2"/>
      <c r="E1018" s="2"/>
    </row>
    <row r="1019" spans="4:5">
      <c r="D1019" s="2"/>
      <c r="E1019" s="2"/>
    </row>
    <row r="1020" spans="4:5">
      <c r="D1020" s="2"/>
      <c r="E1020" s="2"/>
    </row>
    <row r="1021" spans="4:5">
      <c r="D1021" s="2"/>
      <c r="E1021" s="2"/>
    </row>
    <row r="1022" spans="4:5">
      <c r="D1022" s="2"/>
      <c r="E1022" s="2"/>
    </row>
    <row r="1023" spans="4:5">
      <c r="D1023" s="2"/>
      <c r="E1023" s="2"/>
    </row>
    <row r="1024" spans="4:5">
      <c r="D1024" s="2"/>
      <c r="E1024" s="2"/>
    </row>
    <row r="1025" spans="4:5">
      <c r="D1025" s="2"/>
      <c r="E1025" s="2"/>
    </row>
    <row r="1026" spans="4:5">
      <c r="D1026" s="2"/>
      <c r="E1026" s="2"/>
    </row>
    <row r="1027" spans="4:5">
      <c r="D1027" s="2"/>
      <c r="E1027" s="2"/>
    </row>
    <row r="1028" spans="4:5">
      <c r="D1028" s="2"/>
      <c r="E1028" s="2"/>
    </row>
    <row r="1029" spans="4:5">
      <c r="D1029" s="2"/>
      <c r="E1029" s="2"/>
    </row>
    <row r="1030" spans="4:5">
      <c r="D1030" s="2"/>
      <c r="E1030" s="2"/>
    </row>
    <row r="1031" spans="4:5">
      <c r="D1031" s="2"/>
      <c r="E1031" s="2"/>
    </row>
    <row r="1032" spans="4:5">
      <c r="D1032" s="2"/>
      <c r="E1032" s="2"/>
    </row>
    <row r="1033" spans="4:5">
      <c r="D1033" s="2"/>
      <c r="E1033" s="2"/>
    </row>
    <row r="1034" spans="4:5">
      <c r="D1034" s="2"/>
      <c r="E1034" s="2"/>
    </row>
    <row r="1035" spans="4:5">
      <c r="D1035" s="2"/>
      <c r="E1035" s="2"/>
    </row>
    <row r="1036" spans="4:5">
      <c r="D1036" s="2"/>
      <c r="E1036" s="2"/>
    </row>
    <row r="1037" spans="4:5">
      <c r="D1037" s="2"/>
      <c r="E1037" s="2"/>
    </row>
    <row r="1038" spans="4:5">
      <c r="D1038" s="2"/>
      <c r="E1038" s="2"/>
    </row>
    <row r="1039" spans="4:5">
      <c r="D1039" s="2"/>
      <c r="E1039" s="2"/>
    </row>
    <row r="1040" spans="4:5">
      <c r="D1040" s="2"/>
      <c r="E1040" s="2"/>
    </row>
    <row r="1041" spans="4:5">
      <c r="D1041" s="2"/>
      <c r="E1041" s="2"/>
    </row>
    <row r="1042" spans="4:5">
      <c r="D1042" s="2"/>
      <c r="E1042" s="2"/>
    </row>
    <row r="1043" spans="4:5">
      <c r="D1043" s="2"/>
      <c r="E1043" s="2"/>
    </row>
    <row r="1044" spans="4:5">
      <c r="D1044" s="2"/>
      <c r="E1044" s="2"/>
    </row>
    <row r="1045" spans="4:5">
      <c r="D1045" s="2"/>
      <c r="E1045" s="2"/>
    </row>
    <row r="1046" spans="4:5">
      <c r="D1046" s="2"/>
      <c r="E1046" s="2"/>
    </row>
    <row r="1047" spans="4:5">
      <c r="D1047" s="2"/>
      <c r="E1047" s="2"/>
    </row>
    <row r="1048" spans="4:5">
      <c r="D1048" s="2"/>
      <c r="E1048" s="2"/>
    </row>
    <row r="1049" spans="4:5">
      <c r="D1049" s="2"/>
      <c r="E1049" s="2"/>
    </row>
    <row r="1050" spans="4:5">
      <c r="D1050" s="2"/>
      <c r="E1050" s="2"/>
    </row>
    <row r="1051" spans="4:5">
      <c r="D1051" s="2"/>
      <c r="E1051" s="2"/>
    </row>
    <row r="1052" spans="4:5">
      <c r="D1052" s="2"/>
      <c r="E1052" s="2"/>
    </row>
    <row r="1053" spans="4:5">
      <c r="D1053" s="2"/>
      <c r="E1053" s="2"/>
    </row>
    <row r="1054" spans="4:5">
      <c r="D1054" s="2"/>
      <c r="E1054" s="2"/>
    </row>
    <row r="1055" spans="4:5">
      <c r="D1055" s="2"/>
      <c r="E1055" s="2"/>
    </row>
    <row r="1056" spans="4:5">
      <c r="D1056" s="2"/>
      <c r="E1056" s="2"/>
    </row>
    <row r="1057" spans="4:5">
      <c r="D1057" s="2"/>
      <c r="E1057" s="2"/>
    </row>
    <row r="1058" spans="4:5">
      <c r="D1058" s="2"/>
      <c r="E1058" s="2"/>
    </row>
    <row r="1059" spans="4:5">
      <c r="D1059" s="2"/>
      <c r="E1059" s="2"/>
    </row>
    <row r="1060" spans="4:5">
      <c r="D1060" s="2"/>
      <c r="E1060" s="2"/>
    </row>
    <row r="1061" spans="4:5">
      <c r="D1061" s="2"/>
      <c r="E1061" s="2"/>
    </row>
    <row r="1062" spans="4:5">
      <c r="D1062" s="2"/>
      <c r="E1062" s="2"/>
    </row>
    <row r="1063" spans="4:5">
      <c r="D1063" s="2"/>
      <c r="E1063" s="2"/>
    </row>
    <row r="1064" spans="4:5">
      <c r="D1064" s="2"/>
      <c r="E1064" s="2"/>
    </row>
    <row r="1065" spans="4:5">
      <c r="D1065" s="2"/>
      <c r="E1065" s="2"/>
    </row>
    <row r="1066" spans="4:5">
      <c r="D1066" s="2"/>
      <c r="E1066" s="2"/>
    </row>
    <row r="1067" spans="4:5">
      <c r="D1067" s="2"/>
      <c r="E1067" s="2"/>
    </row>
    <row r="1068" spans="4:5">
      <c r="D1068" s="2"/>
      <c r="E1068" s="2"/>
    </row>
    <row r="1069" spans="4:5">
      <c r="D1069" s="2"/>
      <c r="E1069" s="2"/>
    </row>
    <row r="1070" spans="4:5">
      <c r="D1070" s="2"/>
      <c r="E1070" s="2"/>
    </row>
    <row r="1071" spans="4:5">
      <c r="D1071" s="2"/>
      <c r="E1071" s="2"/>
    </row>
    <row r="1072" spans="4:5">
      <c r="D1072" s="2"/>
      <c r="E1072" s="2"/>
    </row>
    <row r="1073" spans="4:5">
      <c r="D1073" s="2"/>
      <c r="E1073" s="2"/>
    </row>
    <row r="1074" spans="4:5">
      <c r="D1074" s="2"/>
      <c r="E1074" s="2"/>
    </row>
    <row r="1075" spans="4:5">
      <c r="D1075" s="2"/>
      <c r="E1075" s="2"/>
    </row>
    <row r="1076" spans="4:5">
      <c r="D1076" s="2"/>
      <c r="E1076" s="2"/>
    </row>
    <row r="1077" spans="4:5">
      <c r="D1077" s="2"/>
      <c r="E1077" s="2"/>
    </row>
    <row r="1078" spans="4:5">
      <c r="D1078" s="2"/>
      <c r="E1078" s="2"/>
    </row>
    <row r="1079" spans="4:5">
      <c r="D1079" s="2"/>
      <c r="E1079" s="2"/>
    </row>
    <row r="1080" spans="4:5">
      <c r="D1080" s="2"/>
      <c r="E1080" s="2"/>
    </row>
    <row r="1081" spans="4:5">
      <c r="D1081" s="2"/>
      <c r="E1081" s="2"/>
    </row>
    <row r="1082" spans="4:5">
      <c r="D1082" s="2"/>
      <c r="E1082" s="2"/>
    </row>
    <row r="1083" spans="4:5">
      <c r="D1083" s="2"/>
      <c r="E1083" s="2"/>
    </row>
    <row r="1084" spans="4:5">
      <c r="D1084" s="2"/>
      <c r="E1084" s="2"/>
    </row>
    <row r="1085" spans="4:5">
      <c r="D1085" s="2"/>
      <c r="E1085" s="2"/>
    </row>
    <row r="1086" spans="4:5">
      <c r="D1086" s="2"/>
      <c r="E1086" s="2"/>
    </row>
    <row r="1087" spans="4:5">
      <c r="D1087" s="2"/>
      <c r="E1087" s="2"/>
    </row>
    <row r="1088" spans="4:5">
      <c r="D1088" s="2"/>
      <c r="E1088" s="2"/>
    </row>
    <row r="1089" spans="4:5">
      <c r="D1089" s="2"/>
      <c r="E1089" s="2"/>
    </row>
    <row r="1090" spans="4:5">
      <c r="D1090" s="2"/>
      <c r="E1090" s="2"/>
    </row>
    <row r="1091" spans="4:5">
      <c r="D1091" s="2"/>
      <c r="E1091" s="2"/>
    </row>
    <row r="1092" spans="4:5">
      <c r="D1092" s="2"/>
      <c r="E1092" s="2"/>
    </row>
    <row r="1093" spans="4:5">
      <c r="D1093" s="2"/>
      <c r="E1093" s="2"/>
    </row>
    <row r="1094" spans="4:5">
      <c r="D1094" s="2"/>
      <c r="E1094" s="2"/>
    </row>
    <row r="1095" spans="4:5">
      <c r="D1095" s="2"/>
      <c r="E1095" s="2"/>
    </row>
    <row r="1096" spans="4:5">
      <c r="D1096" s="2"/>
      <c r="E1096" s="2"/>
    </row>
    <row r="1097" spans="4:5">
      <c r="D1097" s="2"/>
      <c r="E1097" s="2"/>
    </row>
    <row r="1098" spans="4:5">
      <c r="D1098" s="2"/>
      <c r="E1098" s="2"/>
    </row>
    <row r="1099" spans="4:5">
      <c r="D1099" s="2"/>
      <c r="E1099" s="2"/>
    </row>
    <row r="1100" spans="4:5">
      <c r="D1100" s="2"/>
      <c r="E1100" s="2"/>
    </row>
    <row r="1101" spans="4:5">
      <c r="D1101" s="2"/>
      <c r="E1101" s="2"/>
    </row>
    <row r="1102" spans="4:5">
      <c r="D1102" s="2"/>
      <c r="E1102" s="2"/>
    </row>
    <row r="1103" spans="4:5">
      <c r="D1103" s="2"/>
      <c r="E1103" s="2"/>
    </row>
    <row r="1104" spans="4:5">
      <c r="D1104" s="2"/>
      <c r="E1104" s="2"/>
    </row>
    <row r="1105" spans="4:5">
      <c r="D1105" s="2"/>
      <c r="E1105" s="2"/>
    </row>
    <row r="1106" spans="4:5">
      <c r="D1106" s="2"/>
      <c r="E1106" s="2"/>
    </row>
    <row r="1107" spans="4:5">
      <c r="D1107" s="2"/>
      <c r="E1107" s="2"/>
    </row>
    <row r="1108" spans="4:5">
      <c r="D1108" s="2"/>
      <c r="E1108" s="2"/>
    </row>
    <row r="1109" spans="4:5">
      <c r="D1109" s="2"/>
      <c r="E1109" s="2"/>
    </row>
    <row r="1110" spans="4:5">
      <c r="D1110" s="2"/>
      <c r="E1110" s="2"/>
    </row>
    <row r="1111" spans="4:5">
      <c r="D1111" s="2"/>
      <c r="E1111" s="2"/>
    </row>
    <row r="1112" spans="4:5">
      <c r="D1112" s="2"/>
      <c r="E1112" s="2"/>
    </row>
    <row r="1113" spans="4:5">
      <c r="D1113" s="2"/>
      <c r="E1113" s="2"/>
    </row>
    <row r="1114" spans="4:5">
      <c r="D1114" s="2"/>
      <c r="E1114" s="2"/>
    </row>
    <row r="1115" spans="4:5">
      <c r="D1115" s="2"/>
      <c r="E1115" s="2"/>
    </row>
    <row r="1116" spans="4:5">
      <c r="D1116" s="2"/>
      <c r="E1116" s="2"/>
    </row>
    <row r="1117" spans="4:5">
      <c r="D1117" s="2"/>
      <c r="E1117" s="2"/>
    </row>
    <row r="1118" spans="4:5">
      <c r="D1118" s="2"/>
      <c r="E1118" s="2"/>
    </row>
    <row r="1119" spans="4:5">
      <c r="D1119" s="2"/>
      <c r="E1119" s="2"/>
    </row>
    <row r="1120" spans="4:5">
      <c r="D1120" s="2"/>
      <c r="E1120" s="2"/>
    </row>
    <row r="1121" spans="4:5">
      <c r="D1121" s="2"/>
      <c r="E1121" s="2"/>
    </row>
    <row r="1122" spans="4:5">
      <c r="D1122" s="2"/>
      <c r="E1122" s="2"/>
    </row>
    <row r="1123" spans="4:5">
      <c r="D1123" s="2"/>
      <c r="E1123" s="2"/>
    </row>
    <row r="1124" spans="4:5">
      <c r="D1124" s="2"/>
      <c r="E1124" s="2"/>
    </row>
    <row r="1125" spans="4:5">
      <c r="D1125" s="2"/>
      <c r="E1125" s="2"/>
    </row>
    <row r="1126" spans="4:5">
      <c r="D1126" s="2"/>
      <c r="E1126" s="2"/>
    </row>
    <row r="1127" spans="4:5">
      <c r="D1127" s="2"/>
      <c r="E1127" s="2"/>
    </row>
    <row r="1128" spans="4:5">
      <c r="D1128" s="2"/>
      <c r="E1128" s="2"/>
    </row>
    <row r="1129" spans="4:5">
      <c r="D1129" s="2"/>
      <c r="E1129" s="2"/>
    </row>
    <row r="1130" spans="4:5">
      <c r="D1130" s="2"/>
      <c r="E1130" s="2"/>
    </row>
    <row r="1131" spans="4:5">
      <c r="D1131" s="2"/>
      <c r="E1131" s="2"/>
    </row>
    <row r="1132" spans="4:5">
      <c r="D1132" s="2"/>
      <c r="E1132" s="2"/>
    </row>
    <row r="1133" spans="4:5">
      <c r="D1133" s="2"/>
      <c r="E1133" s="2"/>
    </row>
    <row r="1134" spans="4:5">
      <c r="D1134" s="2"/>
      <c r="E1134" s="2"/>
    </row>
    <row r="1135" spans="4:5">
      <c r="D1135" s="2"/>
      <c r="E1135" s="2"/>
    </row>
    <row r="1136" spans="4:5">
      <c r="D1136" s="2"/>
      <c r="E1136" s="2"/>
    </row>
    <row r="1137" spans="4:5">
      <c r="D1137" s="2"/>
      <c r="E1137" s="2"/>
    </row>
    <row r="1138" spans="4:5">
      <c r="D1138" s="2"/>
      <c r="E1138" s="2"/>
    </row>
    <row r="1139" spans="4:5">
      <c r="D1139" s="2"/>
      <c r="E1139" s="2"/>
    </row>
    <row r="1140" spans="4:5">
      <c r="D1140" s="2"/>
      <c r="E1140" s="2"/>
    </row>
    <row r="1141" spans="4:5">
      <c r="D1141" s="2"/>
      <c r="E1141" s="2"/>
    </row>
    <row r="1142" spans="4:5">
      <c r="D1142" s="2"/>
      <c r="E1142" s="2"/>
    </row>
    <row r="1143" spans="4:5">
      <c r="D1143" s="2"/>
      <c r="E1143" s="2"/>
    </row>
    <row r="1144" spans="4:5">
      <c r="D1144" s="2"/>
      <c r="E1144" s="2"/>
    </row>
    <row r="1145" spans="4:5">
      <c r="D1145" s="2"/>
      <c r="E1145" s="2"/>
    </row>
    <row r="1146" spans="4:5">
      <c r="D1146" s="2"/>
      <c r="E1146" s="2"/>
    </row>
    <row r="1147" spans="4:5">
      <c r="D1147" s="2"/>
      <c r="E1147" s="2"/>
    </row>
    <row r="1148" spans="4:5">
      <c r="D1148" s="2"/>
      <c r="E1148" s="2"/>
    </row>
    <row r="1149" spans="4:5">
      <c r="D1149" s="2"/>
      <c r="E1149" s="2"/>
    </row>
    <row r="1150" spans="4:5">
      <c r="D1150" s="2"/>
      <c r="E1150" s="2"/>
    </row>
    <row r="1151" spans="4:5">
      <c r="D1151" s="2"/>
      <c r="E1151" s="2"/>
    </row>
    <row r="1152" spans="4:5">
      <c r="D1152" s="2"/>
      <c r="E1152" s="2"/>
    </row>
    <row r="1153" spans="4:5">
      <c r="D1153" s="2"/>
      <c r="E1153" s="2"/>
    </row>
    <row r="1154" spans="4:5">
      <c r="D1154" s="2"/>
      <c r="E1154" s="2"/>
    </row>
    <row r="1155" spans="4:5">
      <c r="D1155" s="2"/>
      <c r="E1155" s="2"/>
    </row>
    <row r="1156" spans="4:5">
      <c r="D1156" s="2"/>
      <c r="E1156" s="2"/>
    </row>
    <row r="1157" spans="4:5">
      <c r="D1157" s="2"/>
      <c r="E1157" s="2"/>
    </row>
    <row r="1158" spans="4:5">
      <c r="D1158" s="2"/>
      <c r="E1158" s="2"/>
    </row>
    <row r="1159" spans="4:5">
      <c r="D1159" s="2"/>
      <c r="E1159" s="2"/>
    </row>
    <row r="1160" spans="4:5">
      <c r="D1160" s="2"/>
      <c r="E1160" s="2"/>
    </row>
    <row r="1161" spans="4:5">
      <c r="D1161" s="2"/>
      <c r="E1161" s="2"/>
    </row>
    <row r="1162" spans="4:5">
      <c r="D1162" s="2"/>
      <c r="E1162" s="2"/>
    </row>
    <row r="1163" spans="4:5">
      <c r="D1163" s="2"/>
      <c r="E1163" s="2"/>
    </row>
    <row r="1164" spans="4:5">
      <c r="D1164" s="2"/>
      <c r="E1164" s="2"/>
    </row>
    <row r="1165" spans="4:5">
      <c r="D1165" s="2"/>
      <c r="E1165" s="2"/>
    </row>
    <row r="1166" spans="4:5">
      <c r="D1166" s="2"/>
      <c r="E1166" s="2"/>
    </row>
    <row r="1167" spans="4:5">
      <c r="D1167" s="2"/>
      <c r="E1167" s="2"/>
    </row>
    <row r="1168" spans="4:5">
      <c r="D1168" s="2"/>
      <c r="E1168" s="2"/>
    </row>
    <row r="1169" spans="4:5">
      <c r="D1169" s="2"/>
      <c r="E1169" s="2"/>
    </row>
    <row r="1170" spans="4:5">
      <c r="D1170" s="2"/>
      <c r="E1170" s="2"/>
    </row>
    <row r="1171" spans="4:5">
      <c r="D1171" s="2"/>
      <c r="E1171" s="2"/>
    </row>
    <row r="1172" spans="4:5">
      <c r="D1172" s="2"/>
      <c r="E1172" s="2"/>
    </row>
    <row r="1173" spans="4:5">
      <c r="D1173" s="2"/>
      <c r="E1173" s="2"/>
    </row>
    <row r="1174" spans="4:5">
      <c r="D1174" s="2"/>
      <c r="E1174" s="2"/>
    </row>
    <row r="1175" spans="4:5">
      <c r="D1175" s="2"/>
      <c r="E1175" s="2"/>
    </row>
    <row r="1176" spans="4:5">
      <c r="D1176" s="2"/>
      <c r="E1176" s="2"/>
    </row>
    <row r="1177" spans="4:5">
      <c r="D1177" s="2"/>
      <c r="E1177" s="2"/>
    </row>
    <row r="1178" spans="4:5">
      <c r="D1178" s="2"/>
      <c r="E1178" s="2"/>
    </row>
    <row r="1179" spans="4:5">
      <c r="D1179" s="2"/>
      <c r="E1179" s="2"/>
    </row>
    <row r="1180" spans="4:5">
      <c r="D1180" s="2"/>
      <c r="E1180" s="2"/>
    </row>
    <row r="1181" spans="4:5">
      <c r="D1181" s="2"/>
      <c r="E1181" s="2"/>
    </row>
    <row r="1182" spans="4:5">
      <c r="D1182" s="2"/>
      <c r="E1182" s="2"/>
    </row>
    <row r="1183" spans="4:5">
      <c r="D1183" s="2"/>
      <c r="E1183" s="2"/>
    </row>
    <row r="1184" spans="4:5">
      <c r="D1184" s="2"/>
      <c r="E1184" s="2"/>
    </row>
    <row r="1185" spans="4:5">
      <c r="D1185" s="2"/>
      <c r="E1185" s="2"/>
    </row>
    <row r="1186" spans="4:5">
      <c r="D1186" s="2"/>
      <c r="E1186" s="2"/>
    </row>
    <row r="1187" spans="4:5">
      <c r="D1187" s="2"/>
      <c r="E1187" s="2"/>
    </row>
    <row r="1188" spans="4:5">
      <c r="D1188" s="2"/>
      <c r="E1188" s="2"/>
    </row>
    <row r="1189" spans="4:5">
      <c r="D1189" s="2"/>
      <c r="E1189" s="2"/>
    </row>
    <row r="1190" spans="4:5">
      <c r="D1190" s="2"/>
      <c r="E1190" s="2"/>
    </row>
    <row r="1191" spans="4:5">
      <c r="D1191" s="2"/>
      <c r="E1191" s="2"/>
    </row>
    <row r="1192" spans="4:5">
      <c r="D1192" s="2"/>
      <c r="E1192" s="2"/>
    </row>
    <row r="1193" spans="4:5">
      <c r="D1193" s="2"/>
      <c r="E1193" s="2"/>
    </row>
    <row r="1194" spans="4:5">
      <c r="D1194" s="2"/>
      <c r="E1194" s="2"/>
    </row>
    <row r="1195" spans="4:5">
      <c r="D1195" s="2"/>
      <c r="E1195" s="2"/>
    </row>
    <row r="1196" spans="4:5">
      <c r="D1196" s="2"/>
      <c r="E1196" s="2"/>
    </row>
    <row r="1197" spans="4:5">
      <c r="D1197" s="2"/>
      <c r="E1197" s="2"/>
    </row>
    <row r="1198" spans="4:5">
      <c r="D1198" s="2"/>
      <c r="E1198" s="2"/>
    </row>
    <row r="1199" spans="4:5">
      <c r="D1199" s="2"/>
      <c r="E1199" s="2"/>
    </row>
    <row r="1200" spans="4:5">
      <c r="D1200" s="2"/>
      <c r="E1200" s="2"/>
    </row>
    <row r="1201" spans="4:5">
      <c r="D1201" s="2"/>
      <c r="E1201" s="2"/>
    </row>
    <row r="1202" spans="4:5">
      <c r="D1202" s="2"/>
      <c r="E1202" s="2"/>
    </row>
    <row r="1203" spans="4:5">
      <c r="D1203" s="2"/>
      <c r="E1203" s="2"/>
    </row>
    <row r="1204" spans="4:5">
      <c r="D1204" s="2"/>
      <c r="E1204" s="2"/>
    </row>
    <row r="1205" spans="4:5">
      <c r="D1205" s="2"/>
      <c r="E1205" s="2"/>
    </row>
    <row r="1206" spans="4:5">
      <c r="D1206" s="2"/>
      <c r="E1206" s="2"/>
    </row>
    <row r="1207" spans="4:5">
      <c r="D1207" s="2"/>
      <c r="E1207" s="2"/>
    </row>
    <row r="1208" spans="4:5">
      <c r="D1208" s="2"/>
      <c r="E1208" s="2"/>
    </row>
    <row r="1209" spans="4:5">
      <c r="D1209" s="2"/>
      <c r="E1209" s="2"/>
    </row>
    <row r="1210" spans="4:5">
      <c r="D1210" s="2"/>
      <c r="E1210" s="2"/>
    </row>
    <row r="1211" spans="4:5">
      <c r="D1211" s="2"/>
      <c r="E1211" s="2"/>
    </row>
    <row r="1212" spans="4:5">
      <c r="D1212" s="2"/>
      <c r="E1212" s="2"/>
    </row>
    <row r="1213" spans="4:5">
      <c r="D1213" s="2"/>
      <c r="E1213" s="2"/>
    </row>
    <row r="1214" spans="4:5">
      <c r="D1214" s="2"/>
      <c r="E1214" s="2"/>
    </row>
    <row r="1215" spans="4:5">
      <c r="D1215" s="2"/>
      <c r="E1215" s="2"/>
    </row>
    <row r="1216" spans="4:5">
      <c r="D1216" s="2"/>
      <c r="E1216" s="2"/>
    </row>
    <row r="1217" spans="4:5">
      <c r="D1217" s="2"/>
      <c r="E1217" s="2"/>
    </row>
    <row r="1218" spans="4:5">
      <c r="D1218" s="2"/>
      <c r="E1218" s="2"/>
    </row>
    <row r="1219" spans="4:5">
      <c r="D1219" s="2"/>
      <c r="E1219" s="2"/>
    </row>
    <row r="1220" spans="4:5">
      <c r="D1220" s="2"/>
      <c r="E1220" s="2"/>
    </row>
    <row r="1221" spans="4:5">
      <c r="D1221" s="2"/>
      <c r="E1221" s="2"/>
    </row>
    <row r="1222" spans="4:5">
      <c r="D1222" s="2"/>
      <c r="E1222" s="2"/>
    </row>
    <row r="1223" spans="4:5">
      <c r="D1223" s="2"/>
      <c r="E1223" s="2"/>
    </row>
    <row r="1224" spans="4:5">
      <c r="D1224" s="2"/>
      <c r="E1224" s="2"/>
    </row>
    <row r="1225" spans="4:5">
      <c r="D1225" s="2"/>
      <c r="E1225" s="2"/>
    </row>
    <row r="1226" spans="4:5">
      <c r="D1226" s="2"/>
      <c r="E1226" s="2"/>
    </row>
    <row r="1227" spans="4:5">
      <c r="D1227" s="2"/>
      <c r="E1227" s="2"/>
    </row>
    <row r="1228" spans="4:5">
      <c r="D1228" s="2"/>
      <c r="E1228" s="2"/>
    </row>
    <row r="1229" spans="4:5">
      <c r="D1229" s="2"/>
      <c r="E1229" s="2"/>
    </row>
    <row r="1230" spans="4:5">
      <c r="D1230" s="2"/>
      <c r="E1230" s="2"/>
    </row>
    <row r="1231" spans="4:5">
      <c r="D1231" s="2"/>
      <c r="E1231" s="2"/>
    </row>
    <row r="1232" spans="4:5">
      <c r="D1232" s="2"/>
      <c r="E1232" s="2"/>
    </row>
    <row r="1233" spans="4:5">
      <c r="D1233" s="2"/>
      <c r="E1233" s="2"/>
    </row>
    <row r="1234" spans="4:5">
      <c r="D1234" s="2"/>
      <c r="E1234" s="2"/>
    </row>
    <row r="1235" spans="4:5">
      <c r="D1235" s="2"/>
      <c r="E1235" s="2"/>
    </row>
    <row r="1236" spans="4:5">
      <c r="D1236" s="2"/>
      <c r="E1236" s="2"/>
    </row>
    <row r="1237" spans="4:5">
      <c r="D1237" s="2"/>
      <c r="E1237" s="2"/>
    </row>
    <row r="1238" spans="4:5">
      <c r="D1238" s="2"/>
      <c r="E1238" s="2"/>
    </row>
    <row r="1239" spans="4:5">
      <c r="D1239" s="2"/>
      <c r="E1239" s="2"/>
    </row>
    <row r="1240" spans="4:5">
      <c r="D1240" s="2"/>
      <c r="E1240" s="2"/>
    </row>
    <row r="1241" spans="4:5">
      <c r="D1241" s="2"/>
      <c r="E1241" s="2"/>
    </row>
    <row r="1242" spans="4:5">
      <c r="D1242" s="2"/>
      <c r="E1242" s="2"/>
    </row>
    <row r="1243" spans="4:5">
      <c r="D1243" s="2"/>
      <c r="E1243" s="2"/>
    </row>
    <row r="1244" spans="4:5">
      <c r="D1244" s="2"/>
      <c r="E1244" s="2"/>
    </row>
    <row r="1245" spans="4:5">
      <c r="D1245" s="2"/>
      <c r="E1245" s="2"/>
    </row>
    <row r="1246" spans="4:5">
      <c r="D1246" s="2"/>
      <c r="E1246" s="2"/>
    </row>
    <row r="1247" spans="4:5">
      <c r="D1247" s="2"/>
      <c r="E1247" s="2"/>
    </row>
    <row r="1248" spans="4:5">
      <c r="D1248" s="2"/>
      <c r="E1248" s="2"/>
    </row>
    <row r="1249" spans="4:5">
      <c r="D1249" s="2"/>
      <c r="E1249" s="2"/>
    </row>
    <row r="1250" spans="4:5">
      <c r="D1250" s="2"/>
      <c r="E1250" s="2"/>
    </row>
    <row r="1251" spans="4:5">
      <c r="D1251" s="2"/>
      <c r="E1251" s="2"/>
    </row>
    <row r="1252" spans="4:5">
      <c r="D1252" s="2"/>
      <c r="E1252" s="2"/>
    </row>
    <row r="1253" spans="4:5">
      <c r="D1253" s="2"/>
      <c r="E1253" s="2"/>
    </row>
    <row r="1254" spans="4:5">
      <c r="D1254" s="2"/>
      <c r="E1254" s="2"/>
    </row>
    <row r="1255" spans="4:5">
      <c r="D1255" s="2"/>
      <c r="E1255" s="2"/>
    </row>
    <row r="1256" spans="4:5">
      <c r="D1256" s="2"/>
      <c r="E1256" s="2"/>
    </row>
    <row r="1257" spans="4:5">
      <c r="D1257" s="2"/>
      <c r="E1257" s="2"/>
    </row>
    <row r="1258" spans="4:5">
      <c r="D1258" s="2"/>
      <c r="E1258" s="2"/>
    </row>
    <row r="1259" spans="4:5">
      <c r="D1259" s="2"/>
      <c r="E1259" s="2"/>
    </row>
    <row r="1260" spans="4:5">
      <c r="D1260" s="2"/>
      <c r="E1260" s="2"/>
    </row>
    <row r="1261" spans="4:5">
      <c r="D1261" s="2"/>
      <c r="E1261" s="2"/>
    </row>
    <row r="1262" spans="4:5">
      <c r="D1262" s="2"/>
      <c r="E1262" s="2"/>
    </row>
    <row r="1263" spans="4:5">
      <c r="D1263" s="2"/>
      <c r="E1263" s="2"/>
    </row>
    <row r="1264" spans="4:5">
      <c r="D1264" s="2"/>
      <c r="E1264" s="2"/>
    </row>
    <row r="1265" spans="4:5">
      <c r="D1265" s="2"/>
      <c r="E1265" s="2"/>
    </row>
    <row r="1266" spans="4:5">
      <c r="D1266" s="2"/>
      <c r="E1266" s="2"/>
    </row>
    <row r="1267" spans="4:5">
      <c r="D1267" s="2"/>
      <c r="E1267" s="2"/>
    </row>
    <row r="1268" spans="4:5">
      <c r="D1268" s="2"/>
      <c r="E1268" s="2"/>
    </row>
    <row r="1269" spans="4:5">
      <c r="D1269" s="2"/>
      <c r="E1269" s="2"/>
    </row>
    <row r="1270" spans="4:5">
      <c r="D1270" s="2"/>
      <c r="E1270" s="2"/>
    </row>
    <row r="1271" spans="4:5">
      <c r="D1271" s="2"/>
      <c r="E1271" s="2"/>
    </row>
    <row r="1272" spans="4:5">
      <c r="D1272" s="2"/>
      <c r="E1272" s="2"/>
    </row>
    <row r="1273" spans="4:5">
      <c r="D1273" s="2"/>
      <c r="E1273" s="2"/>
    </row>
    <row r="1274" spans="4:5">
      <c r="D1274" s="2"/>
      <c r="E1274" s="2"/>
    </row>
    <row r="1275" spans="4:5">
      <c r="D1275" s="2"/>
      <c r="E1275" s="2"/>
    </row>
    <row r="1276" spans="4:5">
      <c r="D1276" s="2"/>
      <c r="E1276" s="2"/>
    </row>
    <row r="1277" spans="4:5">
      <c r="D1277" s="2"/>
      <c r="E1277" s="2"/>
    </row>
    <row r="1278" spans="4:5">
      <c r="D1278" s="2"/>
      <c r="E1278" s="2"/>
    </row>
    <row r="1279" spans="4:5">
      <c r="D1279" s="2"/>
      <c r="E1279" s="2"/>
    </row>
    <row r="1280" spans="4:5">
      <c r="D1280" s="2"/>
      <c r="E1280" s="2"/>
    </row>
    <row r="1281" spans="4:5">
      <c r="D1281" s="2"/>
      <c r="E1281" s="2"/>
    </row>
    <row r="1282" spans="4:5">
      <c r="D1282" s="2"/>
      <c r="E1282" s="2"/>
    </row>
    <row r="1283" spans="4:5">
      <c r="D1283" s="2"/>
      <c r="E1283" s="2"/>
    </row>
    <row r="1284" spans="4:5">
      <c r="D1284" s="2"/>
      <c r="E1284" s="2"/>
    </row>
    <row r="1285" spans="4:5">
      <c r="D1285" s="2"/>
      <c r="E1285" s="2"/>
    </row>
    <row r="1286" spans="4:5">
      <c r="D1286" s="2"/>
      <c r="E1286" s="2"/>
    </row>
    <row r="1287" spans="4:5">
      <c r="D1287" s="2"/>
      <c r="E1287" s="2"/>
    </row>
    <row r="1288" spans="4:5">
      <c r="D1288" s="2"/>
      <c r="E1288" s="2"/>
    </row>
    <row r="1289" spans="4:5">
      <c r="D1289" s="2"/>
      <c r="E1289" s="2"/>
    </row>
    <row r="1290" spans="4:5">
      <c r="D1290" s="2"/>
      <c r="E1290" s="2"/>
    </row>
    <row r="1291" spans="4:5">
      <c r="D1291" s="2"/>
      <c r="E1291" s="2"/>
    </row>
    <row r="1292" spans="4:5">
      <c r="D1292" s="2"/>
      <c r="E1292" s="2"/>
    </row>
    <row r="1293" spans="4:5">
      <c r="D1293" s="2"/>
      <c r="E1293" s="2"/>
    </row>
    <row r="1294" spans="4:5">
      <c r="D1294" s="2"/>
      <c r="E1294" s="2"/>
    </row>
    <row r="1295" spans="4:5">
      <c r="D1295" s="2"/>
      <c r="E1295" s="2"/>
    </row>
    <row r="1296" spans="4:5">
      <c r="D1296" s="2"/>
      <c r="E1296" s="2"/>
    </row>
    <row r="1297" spans="4:5">
      <c r="D1297" s="2"/>
      <c r="E1297" s="2"/>
    </row>
    <row r="1298" spans="4:5">
      <c r="D1298" s="2"/>
      <c r="E1298" s="2"/>
    </row>
    <row r="1299" spans="4:5">
      <c r="D1299" s="2"/>
      <c r="E1299" s="2"/>
    </row>
    <row r="1300" spans="4:5">
      <c r="D1300" s="2"/>
      <c r="E1300" s="2"/>
    </row>
    <row r="1301" spans="4:5">
      <c r="D1301" s="2"/>
      <c r="E1301" s="2"/>
    </row>
    <row r="1302" spans="4:5">
      <c r="D1302" s="2"/>
      <c r="E1302" s="2"/>
    </row>
    <row r="1303" spans="4:5">
      <c r="D1303" s="2"/>
      <c r="E1303" s="2"/>
    </row>
    <row r="1304" spans="4:5">
      <c r="D1304" s="2"/>
      <c r="E1304" s="2"/>
    </row>
    <row r="1305" spans="4:5">
      <c r="D1305" s="2"/>
      <c r="E1305" s="2"/>
    </row>
    <row r="1306" spans="4:5">
      <c r="D1306" s="2"/>
      <c r="E1306" s="2"/>
    </row>
    <row r="1307" spans="4:5">
      <c r="D1307" s="2"/>
      <c r="E1307" s="2"/>
    </row>
    <row r="1308" spans="4:5">
      <c r="D1308" s="2"/>
      <c r="E1308" s="2"/>
    </row>
    <row r="1309" spans="4:5">
      <c r="D1309" s="2"/>
      <c r="E1309" s="2"/>
    </row>
    <row r="1310" spans="4:5">
      <c r="D1310" s="2"/>
      <c r="E1310" s="2"/>
    </row>
    <row r="1311" spans="4:5">
      <c r="D1311" s="2"/>
      <c r="E1311" s="2"/>
    </row>
    <row r="1312" spans="4:5">
      <c r="D1312" s="2"/>
      <c r="E1312" s="2"/>
    </row>
    <row r="1313" spans="4:5">
      <c r="D1313" s="2"/>
      <c r="E1313" s="2"/>
    </row>
    <row r="1314" spans="4:5">
      <c r="D1314" s="2"/>
      <c r="E1314" s="2"/>
    </row>
    <row r="1315" spans="4:5">
      <c r="D1315" s="2"/>
      <c r="E1315" s="2"/>
    </row>
    <row r="1316" spans="4:5">
      <c r="D1316" s="2"/>
      <c r="E1316" s="2"/>
    </row>
    <row r="1317" spans="4:5">
      <c r="D1317" s="2"/>
      <c r="E1317" s="2"/>
    </row>
    <row r="1318" spans="4:5">
      <c r="D1318" s="2"/>
      <c r="E1318" s="2"/>
    </row>
    <row r="1319" spans="4:5">
      <c r="D1319" s="2"/>
      <c r="E1319" s="2"/>
    </row>
    <row r="1320" spans="4:5">
      <c r="D1320" s="2"/>
      <c r="E1320" s="2"/>
    </row>
    <row r="1321" spans="4:5">
      <c r="D1321" s="2"/>
      <c r="E1321" s="2"/>
    </row>
    <row r="1322" spans="4:5">
      <c r="D1322" s="2"/>
      <c r="E1322" s="2"/>
    </row>
    <row r="1323" spans="4:5">
      <c r="D1323" s="2"/>
      <c r="E1323" s="2"/>
    </row>
    <row r="1324" spans="4:5">
      <c r="D1324" s="2"/>
      <c r="E1324" s="2"/>
    </row>
    <row r="1325" spans="4:5">
      <c r="D1325" s="2"/>
      <c r="E1325" s="2"/>
    </row>
    <row r="1326" spans="4:5">
      <c r="D1326" s="2"/>
      <c r="E1326" s="2"/>
    </row>
    <row r="1327" spans="4:5">
      <c r="D1327" s="2"/>
      <c r="E1327" s="2"/>
    </row>
    <row r="1328" spans="4:5">
      <c r="D1328" s="2"/>
      <c r="E1328" s="2"/>
    </row>
    <row r="1329" spans="4:5">
      <c r="D1329" s="2"/>
      <c r="E1329" s="2"/>
    </row>
    <row r="1330" spans="4:5">
      <c r="D1330" s="2"/>
      <c r="E1330" s="2"/>
    </row>
    <row r="1331" spans="4:5">
      <c r="D1331" s="2"/>
      <c r="E1331" s="2"/>
    </row>
    <row r="1332" spans="4:5">
      <c r="D1332" s="2"/>
      <c r="E1332" s="2"/>
    </row>
    <row r="1333" spans="4:5">
      <c r="D1333" s="2"/>
      <c r="E1333" s="2"/>
    </row>
    <row r="1334" spans="4:5">
      <c r="D1334" s="2"/>
      <c r="E1334" s="2"/>
    </row>
    <row r="1335" spans="4:5">
      <c r="D1335" s="2"/>
      <c r="E1335" s="2"/>
    </row>
    <row r="1336" spans="4:5">
      <c r="D1336" s="2"/>
      <c r="E1336" s="2"/>
    </row>
    <row r="1337" spans="4:5">
      <c r="D1337" s="2"/>
      <c r="E1337" s="2"/>
    </row>
    <row r="1338" spans="4:5">
      <c r="D1338" s="2"/>
      <c r="E1338" s="2"/>
    </row>
    <row r="1339" spans="4:5">
      <c r="D1339" s="2"/>
      <c r="E1339" s="2"/>
    </row>
    <row r="1340" spans="4:5">
      <c r="D1340" s="2"/>
      <c r="E1340" s="2"/>
    </row>
    <row r="1341" spans="4:5">
      <c r="D1341" s="2"/>
      <c r="E1341" s="2"/>
    </row>
    <row r="1342" spans="4:5">
      <c r="D1342" s="2"/>
      <c r="E1342" s="2"/>
    </row>
    <row r="1343" spans="4:5">
      <c r="D1343" s="2"/>
      <c r="E1343" s="2"/>
    </row>
    <row r="1344" spans="4:5">
      <c r="D1344" s="2"/>
      <c r="E1344" s="2"/>
    </row>
    <row r="1345" spans="4:5">
      <c r="D1345" s="2"/>
      <c r="E1345" s="2"/>
    </row>
    <row r="1346" spans="4:5">
      <c r="D1346" s="2"/>
      <c r="E1346" s="2"/>
    </row>
    <row r="1347" spans="4:5">
      <c r="D1347" s="2"/>
      <c r="E1347" s="2"/>
    </row>
    <row r="1348" spans="4:5">
      <c r="D1348" s="2"/>
      <c r="E1348" s="2"/>
    </row>
    <row r="1349" spans="4:5">
      <c r="D1349" s="2"/>
      <c r="E1349" s="2"/>
    </row>
    <row r="1350" spans="4:5">
      <c r="D1350" s="2"/>
      <c r="E1350" s="2"/>
    </row>
    <row r="1351" spans="4:5">
      <c r="D1351" s="2"/>
      <c r="E1351" s="2"/>
    </row>
    <row r="1352" spans="4:5">
      <c r="D1352" s="2"/>
      <c r="E1352" s="2"/>
    </row>
    <row r="1353" spans="4:5">
      <c r="D1353" s="2"/>
      <c r="E1353" s="2"/>
    </row>
    <row r="1354" spans="4:5">
      <c r="D1354" s="2"/>
      <c r="E1354" s="2"/>
    </row>
    <row r="1355" spans="4:5">
      <c r="D1355" s="2"/>
      <c r="E1355" s="2"/>
    </row>
    <row r="1356" spans="4:5">
      <c r="D1356" s="2"/>
      <c r="E1356" s="2"/>
    </row>
    <row r="1357" spans="4:5">
      <c r="D1357" s="2"/>
      <c r="E1357" s="2"/>
    </row>
    <row r="1358" spans="4:5">
      <c r="D1358" s="2"/>
      <c r="E1358" s="2"/>
    </row>
    <row r="1359" spans="4:5">
      <c r="D1359" s="2"/>
      <c r="E1359" s="2"/>
    </row>
    <row r="1360" spans="4:5">
      <c r="D1360" s="2"/>
      <c r="E1360" s="2"/>
    </row>
    <row r="1361" spans="4:5">
      <c r="D1361" s="2"/>
      <c r="E1361" s="2"/>
    </row>
    <row r="1362" spans="4:5">
      <c r="D1362" s="2"/>
      <c r="E1362" s="2"/>
    </row>
    <row r="1363" spans="4:5">
      <c r="D1363" s="2"/>
      <c r="E1363" s="2"/>
    </row>
    <row r="1364" spans="4:5">
      <c r="D1364" s="2"/>
      <c r="E1364" s="2"/>
    </row>
    <row r="1365" spans="4:5">
      <c r="D1365" s="2"/>
      <c r="E1365" s="2"/>
    </row>
    <row r="1366" spans="4:5">
      <c r="D1366" s="2"/>
      <c r="E1366" s="2"/>
    </row>
    <row r="1367" spans="4:5">
      <c r="D1367" s="2"/>
      <c r="E1367" s="2"/>
    </row>
    <row r="1368" spans="4:5">
      <c r="D1368" s="2"/>
      <c r="E1368" s="2"/>
    </row>
    <row r="1369" spans="4:5">
      <c r="D1369" s="2"/>
      <c r="E1369" s="2"/>
    </row>
    <row r="1370" spans="4:5">
      <c r="D1370" s="2"/>
      <c r="E1370" s="2"/>
    </row>
    <row r="1371" spans="4:5">
      <c r="D1371" s="2"/>
      <c r="E1371" s="2"/>
    </row>
    <row r="1372" spans="4:5">
      <c r="D1372" s="2"/>
      <c r="E1372" s="2"/>
    </row>
    <row r="1373" spans="4:5">
      <c r="D1373" s="2"/>
      <c r="E1373" s="2"/>
    </row>
    <row r="1374" spans="4:5">
      <c r="D1374" s="2"/>
      <c r="E1374" s="2"/>
    </row>
    <row r="1375" spans="4:5">
      <c r="D1375" s="2"/>
      <c r="E1375" s="2"/>
    </row>
    <row r="1376" spans="4:5">
      <c r="D1376" s="2"/>
      <c r="E1376" s="2"/>
    </row>
    <row r="1377" spans="4:5">
      <c r="D1377" s="2"/>
      <c r="E1377" s="2"/>
    </row>
    <row r="1378" spans="4:5">
      <c r="D1378" s="2"/>
      <c r="E1378" s="2"/>
    </row>
    <row r="1379" spans="4:5">
      <c r="D1379" s="2"/>
      <c r="E1379" s="2"/>
    </row>
    <row r="1380" spans="4:5">
      <c r="D1380" s="2"/>
      <c r="E1380" s="2"/>
    </row>
    <row r="1381" spans="4:5">
      <c r="D1381" s="2"/>
      <c r="E1381" s="2"/>
    </row>
    <row r="1382" spans="4:5">
      <c r="D1382" s="2"/>
      <c r="E1382" s="2"/>
    </row>
    <row r="1383" spans="4:5">
      <c r="D1383" s="2"/>
      <c r="E1383" s="2"/>
    </row>
    <row r="1384" spans="4:5">
      <c r="D1384" s="2"/>
      <c r="E1384" s="2"/>
    </row>
    <row r="1385" spans="4:5">
      <c r="D1385" s="2"/>
      <c r="E1385" s="2"/>
    </row>
    <row r="1386" spans="4:5">
      <c r="D1386" s="2"/>
      <c r="E1386" s="2"/>
    </row>
    <row r="1387" spans="4:5">
      <c r="D1387" s="2"/>
      <c r="E1387" s="2"/>
    </row>
    <row r="1388" spans="4:5">
      <c r="D1388" s="2"/>
      <c r="E1388" s="2"/>
    </row>
    <row r="1389" spans="4:5">
      <c r="D1389" s="2"/>
      <c r="E1389" s="2"/>
    </row>
    <row r="1390" spans="4:5">
      <c r="D1390" s="2"/>
      <c r="E1390" s="2"/>
    </row>
    <row r="1391" spans="4:5">
      <c r="D1391" s="2"/>
      <c r="E1391" s="2"/>
    </row>
    <row r="1392" spans="4:5">
      <c r="D1392" s="2"/>
      <c r="E1392" s="2"/>
    </row>
    <row r="1393" spans="4:5">
      <c r="D1393" s="2"/>
      <c r="E1393" s="2"/>
    </row>
    <row r="1394" spans="4:5">
      <c r="D1394" s="2"/>
      <c r="E1394" s="2"/>
    </row>
    <row r="1395" spans="4:5">
      <c r="D1395" s="2"/>
      <c r="E1395" s="2"/>
    </row>
    <row r="1396" spans="4:5">
      <c r="D1396" s="2"/>
      <c r="E1396" s="2"/>
    </row>
    <row r="1397" spans="4:5">
      <c r="D1397" s="2"/>
      <c r="E1397" s="2"/>
    </row>
    <row r="1398" spans="4:5">
      <c r="D1398" s="2"/>
      <c r="E1398" s="2"/>
    </row>
    <row r="1399" spans="4:5">
      <c r="D1399" s="2"/>
      <c r="E1399" s="2"/>
    </row>
    <row r="1400" spans="4:5">
      <c r="D1400" s="2"/>
      <c r="E1400" s="2"/>
    </row>
    <row r="1401" spans="4:5">
      <c r="D1401" s="2"/>
      <c r="E1401" s="2"/>
    </row>
    <row r="1402" spans="4:5">
      <c r="D1402" s="2"/>
      <c r="E1402" s="2"/>
    </row>
    <row r="1403" spans="4:5">
      <c r="D1403" s="2"/>
      <c r="E1403" s="2"/>
    </row>
    <row r="1404" spans="4:5">
      <c r="D1404" s="2"/>
      <c r="E1404" s="2"/>
    </row>
    <row r="1405" spans="4:5">
      <c r="D1405" s="2"/>
      <c r="E1405" s="2"/>
    </row>
    <row r="1406" spans="4:5">
      <c r="D1406" s="2"/>
      <c r="E1406" s="2"/>
    </row>
    <row r="1407" spans="4:5">
      <c r="D1407" s="2"/>
      <c r="E1407" s="2"/>
    </row>
    <row r="1408" spans="4:5">
      <c r="D1408" s="2"/>
      <c r="E1408" s="2"/>
    </row>
    <row r="1409" spans="4:5">
      <c r="D1409" s="2"/>
      <c r="E1409" s="2"/>
    </row>
    <row r="1410" spans="4:5">
      <c r="D1410" s="2"/>
      <c r="E1410" s="2"/>
    </row>
    <row r="1411" spans="4:5">
      <c r="D1411" s="2"/>
      <c r="E1411" s="2"/>
    </row>
    <row r="1412" spans="4:5">
      <c r="D1412" s="2"/>
      <c r="E1412" s="2"/>
    </row>
    <row r="1413" spans="4:5">
      <c r="D1413" s="2"/>
      <c r="E1413" s="2"/>
    </row>
    <row r="1414" spans="4:5">
      <c r="D1414" s="2"/>
      <c r="E1414" s="2"/>
    </row>
    <row r="1415" spans="4:5">
      <c r="D1415" s="2"/>
      <c r="E1415" s="2"/>
    </row>
    <row r="1416" spans="4:5">
      <c r="D1416" s="2"/>
      <c r="E1416" s="2"/>
    </row>
    <row r="1417" spans="4:5">
      <c r="D1417" s="2"/>
      <c r="E1417" s="2"/>
    </row>
    <row r="1418" spans="4:5">
      <c r="D1418" s="2"/>
      <c r="E1418" s="2"/>
    </row>
    <row r="1419" spans="4:5">
      <c r="D1419" s="2"/>
      <c r="E1419" s="2"/>
    </row>
    <row r="1420" spans="4:5">
      <c r="D1420" s="2"/>
      <c r="E1420" s="2"/>
    </row>
    <row r="1421" spans="4:5">
      <c r="D1421" s="2"/>
      <c r="E1421" s="2"/>
    </row>
    <row r="1422" spans="4:5">
      <c r="D1422" s="2"/>
      <c r="E1422" s="2"/>
    </row>
    <row r="1423" spans="4:5">
      <c r="D1423" s="2"/>
      <c r="E1423" s="2"/>
    </row>
    <row r="1424" spans="4:5">
      <c r="D1424" s="2"/>
      <c r="E1424" s="2"/>
    </row>
    <row r="1425" spans="4:5">
      <c r="D1425" s="2"/>
      <c r="E1425" s="2"/>
    </row>
    <row r="1426" spans="4:5">
      <c r="D1426" s="2"/>
      <c r="E1426" s="2"/>
    </row>
    <row r="1427" spans="4:5">
      <c r="D1427" s="2"/>
      <c r="E1427" s="2"/>
    </row>
    <row r="1428" spans="4:5">
      <c r="D1428" s="2"/>
      <c r="E1428" s="2"/>
    </row>
    <row r="1429" spans="4:5">
      <c r="D1429" s="2"/>
      <c r="E1429" s="2"/>
    </row>
    <row r="1430" spans="4:5">
      <c r="D1430" s="2"/>
      <c r="E1430" s="2"/>
    </row>
    <row r="1431" spans="4:5">
      <c r="D1431" s="2"/>
      <c r="E1431" s="2"/>
    </row>
    <row r="1432" spans="4:5">
      <c r="D1432" s="2"/>
      <c r="E1432" s="2"/>
    </row>
    <row r="1433" spans="4:5">
      <c r="D1433" s="2"/>
      <c r="E1433" s="2"/>
    </row>
    <row r="1434" spans="4:5">
      <c r="D1434" s="2"/>
      <c r="E1434" s="2"/>
    </row>
    <row r="1435" spans="4:5">
      <c r="D1435" s="2"/>
      <c r="E1435" s="2"/>
    </row>
    <row r="1436" spans="4:5">
      <c r="D1436" s="2"/>
      <c r="E1436" s="2"/>
    </row>
    <row r="1437" spans="4:5">
      <c r="D1437" s="2"/>
      <c r="E1437" s="2"/>
    </row>
    <row r="1438" spans="4:5">
      <c r="D1438" s="2"/>
      <c r="E1438" s="2"/>
    </row>
    <row r="1439" spans="4:5">
      <c r="D1439" s="2"/>
      <c r="E1439" s="2"/>
    </row>
    <row r="1440" spans="4:5">
      <c r="D1440" s="2"/>
      <c r="E1440" s="2"/>
    </row>
    <row r="1441" spans="4:5">
      <c r="D1441" s="2"/>
      <c r="E1441" s="2"/>
    </row>
    <row r="1442" spans="4:5">
      <c r="D1442" s="2"/>
      <c r="E1442" s="2"/>
    </row>
    <row r="1443" spans="4:5">
      <c r="D1443" s="2"/>
      <c r="E1443" s="2"/>
    </row>
    <row r="1444" spans="4:5">
      <c r="D1444" s="2"/>
      <c r="E1444" s="2"/>
    </row>
    <row r="1445" spans="4:5">
      <c r="D1445" s="2"/>
      <c r="E1445" s="2"/>
    </row>
    <row r="1446" spans="4:5">
      <c r="D1446" s="2"/>
      <c r="E1446" s="2"/>
    </row>
    <row r="1447" spans="4:5">
      <c r="D1447" s="2"/>
      <c r="E1447" s="2"/>
    </row>
    <row r="1448" spans="4:5">
      <c r="D1448" s="2"/>
      <c r="E1448" s="2"/>
    </row>
    <row r="1449" spans="4:5">
      <c r="D1449" s="2"/>
      <c r="E1449" s="2"/>
    </row>
    <row r="1450" spans="4:5">
      <c r="D1450" s="2"/>
      <c r="E1450" s="2"/>
    </row>
    <row r="1451" spans="4:5">
      <c r="D1451" s="2"/>
      <c r="E1451" s="2"/>
    </row>
    <row r="1452" spans="4:5">
      <c r="D1452" s="2"/>
      <c r="E1452" s="2"/>
    </row>
    <row r="1453" spans="4:5">
      <c r="D1453" s="2"/>
      <c r="E1453" s="2"/>
    </row>
    <row r="1454" spans="4:5">
      <c r="D1454" s="2"/>
      <c r="E1454" s="2"/>
    </row>
    <row r="1455" spans="4:5">
      <c r="D1455" s="2"/>
      <c r="E1455" s="2"/>
    </row>
    <row r="1456" spans="4:5">
      <c r="D1456" s="2"/>
      <c r="E1456" s="2"/>
    </row>
    <row r="1457" spans="4:5">
      <c r="D1457" s="2"/>
      <c r="E1457" s="2"/>
    </row>
    <row r="1458" spans="4:5">
      <c r="D1458" s="2"/>
      <c r="E1458" s="2"/>
    </row>
    <row r="1459" spans="4:5">
      <c r="D1459" s="2"/>
      <c r="E1459" s="2"/>
    </row>
    <row r="1460" spans="4:5">
      <c r="D1460" s="2"/>
      <c r="E1460" s="2"/>
    </row>
    <row r="1461" spans="4:5">
      <c r="D1461" s="2"/>
      <c r="E1461" s="2"/>
    </row>
    <row r="1462" spans="4:5">
      <c r="D1462" s="2"/>
      <c r="E1462" s="2"/>
    </row>
    <row r="1463" spans="4:5">
      <c r="D1463" s="2"/>
      <c r="E1463" s="2"/>
    </row>
    <row r="1464" spans="4:5">
      <c r="D1464" s="2"/>
      <c r="E1464" s="2"/>
    </row>
    <row r="1465" spans="4:5">
      <c r="D1465" s="2"/>
      <c r="E1465" s="2"/>
    </row>
    <row r="1466" spans="4:5">
      <c r="D1466" s="2"/>
      <c r="E1466" s="2"/>
    </row>
    <row r="1467" spans="4:5">
      <c r="D1467" s="2"/>
      <c r="E1467" s="2"/>
    </row>
    <row r="1468" spans="4:5">
      <c r="D1468" s="2"/>
      <c r="E1468" s="2"/>
    </row>
    <row r="1469" spans="4:5">
      <c r="D1469" s="2"/>
      <c r="E1469" s="2"/>
    </row>
    <row r="1470" spans="4:5">
      <c r="D1470" s="2"/>
      <c r="E1470" s="2"/>
    </row>
    <row r="1471" spans="4:5">
      <c r="D1471" s="2"/>
      <c r="E1471" s="2"/>
    </row>
    <row r="1472" spans="4:5">
      <c r="D1472" s="2"/>
      <c r="E1472" s="2"/>
    </row>
    <row r="1473" spans="4:5">
      <c r="D1473" s="2"/>
      <c r="E1473" s="2"/>
    </row>
    <row r="1474" spans="4:5">
      <c r="D1474" s="2"/>
      <c r="E1474" s="2"/>
    </row>
    <row r="1475" spans="4:5">
      <c r="D1475" s="2"/>
      <c r="E1475" s="2"/>
    </row>
    <row r="1476" spans="4:5">
      <c r="D1476" s="2"/>
      <c r="E1476" s="2"/>
    </row>
    <row r="1477" spans="4:5">
      <c r="D1477" s="2"/>
      <c r="E1477" s="2"/>
    </row>
    <row r="1478" spans="4:5">
      <c r="D1478" s="2"/>
      <c r="E1478" s="2"/>
    </row>
    <row r="1479" spans="4:5">
      <c r="D1479" s="2"/>
      <c r="E1479" s="2"/>
    </row>
    <row r="1480" spans="4:5">
      <c r="D1480" s="2"/>
      <c r="E1480" s="2"/>
    </row>
    <row r="1481" spans="4:5">
      <c r="D1481" s="2"/>
      <c r="E1481" s="2"/>
    </row>
    <row r="1482" spans="4:5">
      <c r="D1482" s="2"/>
      <c r="E1482" s="2"/>
    </row>
    <row r="1483" spans="4:5">
      <c r="D1483" s="2"/>
      <c r="E1483" s="2"/>
    </row>
    <row r="1484" spans="4:5">
      <c r="D1484" s="2"/>
      <c r="E1484" s="2"/>
    </row>
    <row r="1485" spans="4:5">
      <c r="D1485" s="2"/>
      <c r="E1485" s="2"/>
    </row>
    <row r="1486" spans="4:5">
      <c r="D1486" s="2"/>
      <c r="E1486" s="2"/>
    </row>
    <row r="1487" spans="4:5">
      <c r="D1487" s="2"/>
      <c r="E1487" s="2"/>
    </row>
    <row r="1488" spans="4:5">
      <c r="D1488" s="2"/>
      <c r="E1488" s="2"/>
    </row>
    <row r="1489" spans="4:5">
      <c r="D1489" s="2"/>
      <c r="E1489" s="2"/>
    </row>
    <row r="1490" spans="4:5">
      <c r="D1490" s="2"/>
      <c r="E1490" s="2"/>
    </row>
    <row r="1491" spans="4:5">
      <c r="D1491" s="2"/>
      <c r="E1491" s="2"/>
    </row>
    <row r="1492" spans="4:5">
      <c r="D1492" s="2"/>
      <c r="E1492" s="2"/>
    </row>
    <row r="1493" spans="4:5">
      <c r="D1493" s="2"/>
      <c r="E1493" s="2"/>
    </row>
    <row r="1494" spans="4:5">
      <c r="D1494" s="2"/>
      <c r="E1494" s="2"/>
    </row>
    <row r="1495" spans="4:5">
      <c r="D1495" s="2"/>
      <c r="E1495" s="2"/>
    </row>
    <row r="1496" spans="4:5">
      <c r="D1496" s="2"/>
      <c r="E1496" s="2"/>
    </row>
    <row r="1497" spans="4:5">
      <c r="D1497" s="2"/>
      <c r="E1497" s="2"/>
    </row>
    <row r="1498" spans="4:5">
      <c r="D1498" s="2"/>
      <c r="E1498" s="2"/>
    </row>
    <row r="1499" spans="4:5">
      <c r="D1499" s="2"/>
      <c r="E1499" s="2"/>
    </row>
    <row r="1500" spans="4:5">
      <c r="D1500" s="2"/>
      <c r="E1500" s="2"/>
    </row>
    <row r="1501" spans="4:5">
      <c r="D1501" s="2"/>
      <c r="E1501" s="2"/>
    </row>
    <row r="1502" spans="4:5">
      <c r="D1502" s="2"/>
      <c r="E1502" s="2"/>
    </row>
    <row r="1503" spans="4:5">
      <c r="D1503" s="2"/>
      <c r="E1503" s="2"/>
    </row>
    <row r="1504" spans="4:5">
      <c r="D1504" s="2"/>
      <c r="E1504" s="2"/>
    </row>
    <row r="1505" spans="4:5">
      <c r="D1505" s="2"/>
      <c r="E1505" s="2"/>
    </row>
    <row r="1506" spans="4:5">
      <c r="D1506" s="2"/>
      <c r="E1506" s="2"/>
    </row>
    <row r="1507" spans="4:5">
      <c r="D1507" s="2"/>
      <c r="E1507" s="2"/>
    </row>
    <row r="1508" spans="4:5">
      <c r="D1508" s="2"/>
      <c r="E1508" s="2"/>
    </row>
    <row r="1509" spans="4:5">
      <c r="D1509" s="2"/>
      <c r="E1509" s="2"/>
    </row>
    <row r="1510" spans="4:5">
      <c r="D1510" s="2"/>
      <c r="E1510" s="2"/>
    </row>
    <row r="1511" spans="4:5">
      <c r="D1511" s="2"/>
      <c r="E1511" s="2"/>
    </row>
    <row r="1512" spans="4:5">
      <c r="D1512" s="2"/>
      <c r="E1512" s="2"/>
    </row>
    <row r="1513" spans="4:5">
      <c r="D1513" s="2"/>
      <c r="E1513" s="2"/>
    </row>
    <row r="1514" spans="4:5">
      <c r="D1514" s="2"/>
      <c r="E1514" s="2"/>
    </row>
    <row r="1515" spans="4:5">
      <c r="D1515" s="2"/>
      <c r="E1515" s="2"/>
    </row>
    <row r="1516" spans="4:5">
      <c r="D1516" s="2"/>
      <c r="E1516" s="2"/>
    </row>
    <row r="1517" spans="4:5">
      <c r="D1517" s="2"/>
      <c r="E1517" s="2"/>
    </row>
    <row r="1518" spans="4:5">
      <c r="D1518" s="2"/>
      <c r="E1518" s="2"/>
    </row>
    <row r="1519" spans="4:5">
      <c r="D1519" s="2"/>
      <c r="E1519" s="2"/>
    </row>
    <row r="1520" spans="4:5">
      <c r="D1520" s="2"/>
      <c r="E1520" s="2"/>
    </row>
    <row r="1521" spans="4:5">
      <c r="D1521" s="2"/>
      <c r="E1521" s="2"/>
    </row>
    <row r="1522" spans="4:5">
      <c r="D1522" s="2"/>
      <c r="E1522" s="2"/>
    </row>
    <row r="1523" spans="4:5">
      <c r="D1523" s="2"/>
      <c r="E1523" s="2"/>
    </row>
    <row r="1524" spans="4:5">
      <c r="D1524" s="2"/>
      <c r="E1524" s="2"/>
    </row>
    <row r="1525" spans="4:5">
      <c r="D1525" s="2"/>
      <c r="E1525" s="2"/>
    </row>
    <row r="1526" spans="4:5">
      <c r="D1526" s="2"/>
      <c r="E1526" s="2"/>
    </row>
    <row r="1527" spans="4:5">
      <c r="D1527" s="2"/>
      <c r="E1527" s="2"/>
    </row>
    <row r="1528" spans="4:5">
      <c r="D1528" s="2"/>
      <c r="E1528" s="2"/>
    </row>
    <row r="1529" spans="4:5">
      <c r="D1529" s="2"/>
      <c r="E1529" s="2"/>
    </row>
    <row r="1530" spans="4:5">
      <c r="D1530" s="2"/>
      <c r="E1530" s="2"/>
    </row>
    <row r="1531" spans="4:5">
      <c r="D1531" s="2"/>
      <c r="E1531" s="2"/>
    </row>
    <row r="1532" spans="4:5">
      <c r="D1532" s="2"/>
      <c r="E1532" s="2"/>
    </row>
    <row r="1533" spans="4:5">
      <c r="D1533" s="2"/>
      <c r="E1533" s="2"/>
    </row>
    <row r="1534" spans="4:5">
      <c r="D1534" s="2"/>
      <c r="E1534" s="2"/>
    </row>
    <row r="1535" spans="4:5">
      <c r="D1535" s="2"/>
      <c r="E1535" s="2"/>
    </row>
    <row r="1536" spans="4:5">
      <c r="D1536" s="2"/>
      <c r="E1536" s="2"/>
    </row>
    <row r="1537" spans="4:5">
      <c r="D1537" s="2"/>
      <c r="E1537" s="2"/>
    </row>
    <row r="1538" spans="4:5">
      <c r="D1538" s="2"/>
      <c r="E1538" s="2"/>
    </row>
    <row r="1539" spans="4:5">
      <c r="D1539" s="2"/>
      <c r="E1539" s="2"/>
    </row>
    <row r="1540" spans="4:5">
      <c r="D1540" s="2"/>
      <c r="E1540" s="2"/>
    </row>
    <row r="1541" spans="4:5">
      <c r="D1541" s="2"/>
      <c r="E1541" s="2"/>
    </row>
    <row r="1542" spans="4:5">
      <c r="D1542" s="2"/>
      <c r="E1542" s="2"/>
    </row>
    <row r="1543" spans="4:5">
      <c r="D1543" s="2"/>
      <c r="E1543" s="2"/>
    </row>
    <row r="1544" spans="4:5">
      <c r="D1544" s="2"/>
      <c r="E1544" s="2"/>
    </row>
    <row r="1545" spans="4:5">
      <c r="D1545" s="2"/>
      <c r="E1545" s="2"/>
    </row>
    <row r="1546" spans="4:5">
      <c r="D1546" s="2"/>
      <c r="E1546" s="2"/>
    </row>
    <row r="1547" spans="4:5">
      <c r="D1547" s="2"/>
      <c r="E1547" s="2"/>
    </row>
    <row r="1548" spans="4:5">
      <c r="D1548" s="2"/>
      <c r="E1548" s="2"/>
    </row>
    <row r="1549" spans="4:5">
      <c r="D1549" s="2"/>
      <c r="E1549" s="2"/>
    </row>
    <row r="1550" spans="4:5">
      <c r="D1550" s="2"/>
      <c r="E1550" s="2"/>
    </row>
    <row r="1551" spans="4:5">
      <c r="D1551" s="2"/>
      <c r="E1551" s="2"/>
    </row>
    <row r="1552" spans="4:5">
      <c r="D1552" s="2"/>
      <c r="E1552" s="2"/>
    </row>
    <row r="1553" spans="4:5">
      <c r="D1553" s="2"/>
      <c r="E1553" s="2"/>
    </row>
    <row r="1554" spans="4:5">
      <c r="D1554" s="2"/>
      <c r="E1554" s="2"/>
    </row>
    <row r="1555" spans="4:5">
      <c r="D1555" s="2"/>
      <c r="E1555" s="2"/>
    </row>
    <row r="1556" spans="4:5">
      <c r="D1556" s="2"/>
      <c r="E1556" s="2"/>
    </row>
    <row r="1557" spans="4:5">
      <c r="D1557" s="2"/>
      <c r="E1557" s="2"/>
    </row>
    <row r="1558" spans="4:5">
      <c r="D1558" s="2"/>
      <c r="E1558" s="2"/>
    </row>
    <row r="1559" spans="4:5">
      <c r="D1559" s="2"/>
      <c r="E1559" s="2"/>
    </row>
    <row r="1560" spans="4:5">
      <c r="D1560" s="2"/>
      <c r="E1560" s="2"/>
    </row>
    <row r="1561" spans="4:5">
      <c r="D1561" s="2"/>
      <c r="E1561" s="2"/>
    </row>
    <row r="1562" spans="4:5">
      <c r="D1562" s="2"/>
      <c r="E1562" s="2"/>
    </row>
    <row r="1563" spans="4:5">
      <c r="D1563" s="2"/>
      <c r="E1563" s="2"/>
    </row>
    <row r="1564" spans="4:5">
      <c r="D1564" s="2"/>
      <c r="E1564" s="2"/>
    </row>
    <row r="1565" spans="4:5">
      <c r="D1565" s="2"/>
      <c r="E1565" s="2"/>
    </row>
    <row r="1566" spans="4:5">
      <c r="D1566" s="2"/>
      <c r="E1566" s="2"/>
    </row>
    <row r="1567" spans="4:5">
      <c r="D1567" s="2"/>
      <c r="E1567" s="2"/>
    </row>
    <row r="1568" spans="4:5">
      <c r="D1568" s="2"/>
      <c r="E1568" s="2"/>
    </row>
    <row r="1569" spans="4:5">
      <c r="D1569" s="2"/>
      <c r="E1569" s="2"/>
    </row>
    <row r="1570" spans="4:5">
      <c r="D1570" s="2"/>
      <c r="E1570" s="2"/>
    </row>
    <row r="1571" spans="4:5">
      <c r="D1571" s="2"/>
      <c r="E1571" s="2"/>
    </row>
    <row r="1572" spans="4:5">
      <c r="D1572" s="2"/>
      <c r="E1572" s="2"/>
    </row>
    <row r="1573" spans="4:5">
      <c r="D1573" s="2"/>
      <c r="E1573" s="2"/>
    </row>
    <row r="1574" spans="4:5">
      <c r="D1574" s="2"/>
      <c r="E1574" s="2"/>
    </row>
    <row r="1575" spans="4:5">
      <c r="D1575" s="2"/>
      <c r="E1575" s="2"/>
    </row>
    <row r="1576" spans="4:5">
      <c r="D1576" s="2"/>
      <c r="E1576" s="2"/>
    </row>
    <row r="1577" spans="4:5">
      <c r="D1577" s="2"/>
      <c r="E1577" s="2"/>
    </row>
    <row r="1578" spans="4:5">
      <c r="D1578" s="2"/>
      <c r="E1578" s="2"/>
    </row>
    <row r="1579" spans="4:5">
      <c r="D1579" s="2"/>
      <c r="E1579" s="2"/>
    </row>
    <row r="1580" spans="4:5">
      <c r="D1580" s="2"/>
      <c r="E1580" s="2"/>
    </row>
    <row r="1581" spans="4:5">
      <c r="D1581" s="2"/>
      <c r="E1581" s="2"/>
    </row>
    <row r="1582" spans="4:5">
      <c r="D1582" s="2"/>
      <c r="E1582" s="2"/>
    </row>
    <row r="1583" spans="4:5">
      <c r="D1583" s="2"/>
      <c r="E1583" s="2"/>
    </row>
    <row r="1584" spans="4:5">
      <c r="D1584" s="2"/>
      <c r="E1584" s="2"/>
    </row>
    <row r="1585" spans="4:5">
      <c r="D1585" s="2"/>
      <c r="E1585" s="2"/>
    </row>
    <row r="1586" spans="4:5">
      <c r="D1586" s="2"/>
      <c r="E1586" s="2"/>
    </row>
    <row r="1587" spans="4:5">
      <c r="D1587" s="2"/>
      <c r="E1587" s="2"/>
    </row>
    <row r="1588" spans="4:5">
      <c r="D1588" s="2"/>
      <c r="E1588" s="2"/>
    </row>
    <row r="1589" spans="4:5">
      <c r="D1589" s="2"/>
      <c r="E1589" s="2"/>
    </row>
    <row r="1590" spans="4:5">
      <c r="D1590" s="2"/>
      <c r="E1590" s="2"/>
    </row>
    <row r="1591" spans="4:5">
      <c r="D1591" s="2"/>
      <c r="E1591" s="2"/>
    </row>
    <row r="1592" spans="4:5">
      <c r="D1592" s="2"/>
      <c r="E1592" s="2"/>
    </row>
    <row r="1593" spans="4:5">
      <c r="D1593" s="2"/>
      <c r="E1593" s="2"/>
    </row>
    <row r="1594" spans="4:5">
      <c r="D1594" s="2"/>
      <c r="E1594" s="2"/>
    </row>
    <row r="1595" spans="4:5">
      <c r="D1595" s="2"/>
      <c r="E1595" s="2"/>
    </row>
    <row r="1596" spans="4:5">
      <c r="D1596" s="2"/>
      <c r="E1596" s="2"/>
    </row>
    <row r="1597" spans="4:5">
      <c r="D1597" s="2"/>
      <c r="E1597" s="2"/>
    </row>
    <row r="1598" spans="4:5">
      <c r="D1598" s="2"/>
      <c r="E1598" s="2"/>
    </row>
    <row r="1599" spans="4:5">
      <c r="D1599" s="2"/>
      <c r="E1599" s="2"/>
    </row>
    <row r="1600" spans="4:5">
      <c r="D1600" s="2"/>
      <c r="E1600" s="2"/>
    </row>
    <row r="1601" spans="4:5">
      <c r="D1601" s="2"/>
      <c r="E1601" s="2"/>
    </row>
    <row r="1602" spans="4:5">
      <c r="D1602" s="2"/>
      <c r="E1602" s="2"/>
    </row>
    <row r="1603" spans="4:5">
      <c r="D1603" s="2"/>
      <c r="E1603" s="2"/>
    </row>
    <row r="1604" spans="4:5">
      <c r="D1604" s="2"/>
      <c r="E1604" s="2"/>
    </row>
    <row r="1605" spans="4:5">
      <c r="D1605" s="2"/>
      <c r="E1605" s="2"/>
    </row>
    <row r="1606" spans="4:5">
      <c r="D1606" s="2"/>
      <c r="E1606" s="2"/>
    </row>
    <row r="1607" spans="4:5">
      <c r="D1607" s="2"/>
      <c r="E1607" s="2"/>
    </row>
    <row r="1608" spans="4:5">
      <c r="D1608" s="2"/>
      <c r="E1608" s="2"/>
    </row>
    <row r="1609" spans="4:5">
      <c r="D1609" s="2"/>
      <c r="E1609" s="2"/>
    </row>
    <row r="1610" spans="4:5">
      <c r="D1610" s="2"/>
      <c r="E1610" s="2"/>
    </row>
    <row r="1611" spans="4:5">
      <c r="D1611" s="2"/>
      <c r="E1611" s="2"/>
    </row>
    <row r="1612" spans="4:5">
      <c r="D1612" s="2"/>
      <c r="E1612" s="2"/>
    </row>
    <row r="1613" spans="4:5">
      <c r="D1613" s="2"/>
      <c r="E1613" s="2"/>
    </row>
    <row r="1614" spans="4:5">
      <c r="D1614" s="2"/>
      <c r="E1614" s="2"/>
    </row>
    <row r="1615" spans="4:5">
      <c r="D1615" s="2"/>
      <c r="E1615" s="2"/>
    </row>
    <row r="1616" spans="4:5">
      <c r="D1616" s="2"/>
      <c r="E1616" s="2"/>
    </row>
    <row r="1617" spans="4:5">
      <c r="D1617" s="2"/>
      <c r="E1617" s="2"/>
    </row>
    <row r="1618" spans="4:5">
      <c r="D1618" s="2"/>
      <c r="E1618" s="2"/>
    </row>
    <row r="1619" spans="4:5">
      <c r="D1619" s="2"/>
      <c r="E1619" s="2"/>
    </row>
    <row r="1620" spans="4:5">
      <c r="D1620" s="2"/>
      <c r="E1620" s="2"/>
    </row>
    <row r="1621" spans="4:5">
      <c r="D1621" s="2"/>
      <c r="E1621" s="2"/>
    </row>
    <row r="1622" spans="4:5">
      <c r="D1622" s="2"/>
      <c r="E1622" s="2"/>
    </row>
    <row r="1623" spans="4:5">
      <c r="D1623" s="2"/>
      <c r="E1623" s="2"/>
    </row>
    <row r="1624" spans="4:5">
      <c r="D1624" s="2"/>
      <c r="E1624" s="2"/>
    </row>
    <row r="1625" spans="4:5">
      <c r="D1625" s="2"/>
      <c r="E1625" s="2"/>
    </row>
    <row r="1626" spans="4:5">
      <c r="D1626" s="2"/>
      <c r="E1626" s="2"/>
    </row>
    <row r="1627" spans="4:5">
      <c r="D1627" s="2"/>
      <c r="E1627" s="2"/>
    </row>
    <row r="1628" spans="4:5">
      <c r="D1628" s="2"/>
      <c r="E1628" s="2"/>
    </row>
    <row r="1629" spans="4:5">
      <c r="D1629" s="2"/>
      <c r="E1629" s="2"/>
    </row>
    <row r="1630" spans="4:5">
      <c r="D1630" s="2"/>
      <c r="E1630" s="2"/>
    </row>
    <row r="1631" spans="4:5">
      <c r="D1631" s="2"/>
      <c r="E1631" s="2"/>
    </row>
    <row r="1632" spans="4:5">
      <c r="D1632" s="2"/>
      <c r="E1632" s="2"/>
    </row>
    <row r="1633" spans="4:5">
      <c r="D1633" s="2"/>
      <c r="E1633" s="2"/>
    </row>
    <row r="1634" spans="4:5">
      <c r="D1634" s="2"/>
      <c r="E1634" s="2"/>
    </row>
    <row r="1635" spans="4:5">
      <c r="D1635" s="2"/>
      <c r="E1635" s="2"/>
    </row>
    <row r="1636" spans="4:5">
      <c r="D1636" s="2"/>
      <c r="E1636" s="2"/>
    </row>
    <row r="1637" spans="4:5">
      <c r="D1637" s="2"/>
      <c r="E1637" s="2"/>
    </row>
    <row r="1638" spans="4:5">
      <c r="D1638" s="2"/>
      <c r="E1638" s="2"/>
    </row>
    <row r="1639" spans="4:5">
      <c r="D1639" s="2"/>
      <c r="E1639" s="2"/>
    </row>
    <row r="1640" spans="4:5">
      <c r="D1640" s="2"/>
      <c r="E1640" s="2"/>
    </row>
    <row r="1641" spans="4:5">
      <c r="D1641" s="2"/>
      <c r="E1641" s="2"/>
    </row>
    <row r="1642" spans="4:5">
      <c r="D1642" s="2"/>
      <c r="E1642" s="2"/>
    </row>
    <row r="1643" spans="4:5">
      <c r="D1643" s="2"/>
      <c r="E1643" s="2"/>
    </row>
    <row r="1644" spans="4:5">
      <c r="D1644" s="2"/>
      <c r="E1644" s="2"/>
    </row>
    <row r="1645" spans="4:5">
      <c r="D1645" s="2"/>
      <c r="E1645" s="2"/>
    </row>
    <row r="1646" spans="4:5">
      <c r="D1646" s="2"/>
      <c r="E1646" s="2"/>
    </row>
    <row r="1647" spans="4:5">
      <c r="D1647" s="2"/>
      <c r="E1647" s="2"/>
    </row>
    <row r="1648" spans="4:5">
      <c r="D1648" s="2"/>
      <c r="E1648" s="2"/>
    </row>
    <row r="1649" spans="4:5">
      <c r="D1649" s="2"/>
      <c r="E1649" s="2"/>
    </row>
    <row r="1650" spans="4:5">
      <c r="D1650" s="2"/>
      <c r="E1650" s="2"/>
    </row>
    <row r="1651" spans="4:5">
      <c r="D1651" s="2"/>
      <c r="E1651" s="2"/>
    </row>
    <row r="1652" spans="4:5">
      <c r="D1652" s="2"/>
      <c r="E1652" s="2"/>
    </row>
    <row r="1653" spans="4:5">
      <c r="D1653" s="2"/>
      <c r="E1653" s="2"/>
    </row>
    <row r="1654" spans="4:5">
      <c r="D1654" s="2"/>
      <c r="E1654" s="2"/>
    </row>
    <row r="1655" spans="4:5">
      <c r="D1655" s="2"/>
      <c r="E1655" s="2"/>
    </row>
    <row r="1656" spans="4:5">
      <c r="D1656" s="2"/>
      <c r="E1656" s="2"/>
    </row>
    <row r="1657" spans="4:5">
      <c r="D1657" s="2"/>
      <c r="E1657" s="2"/>
    </row>
    <row r="1658" spans="4:5">
      <c r="D1658" s="2"/>
      <c r="E1658" s="2"/>
    </row>
    <row r="1659" spans="4:5">
      <c r="D1659" s="2"/>
      <c r="E1659" s="2"/>
    </row>
    <row r="1660" spans="4:5">
      <c r="D1660" s="2"/>
      <c r="E1660" s="2"/>
    </row>
    <row r="1661" spans="4:5">
      <c r="D1661" s="2"/>
      <c r="E1661" s="2"/>
    </row>
    <row r="1662" spans="4:5">
      <c r="D1662" s="2"/>
      <c r="E1662" s="2"/>
    </row>
    <row r="1663" spans="4:5">
      <c r="D1663" s="2"/>
      <c r="E1663" s="2"/>
    </row>
    <row r="1664" spans="4:5">
      <c r="D1664" s="2"/>
      <c r="E1664" s="2"/>
    </row>
    <row r="1665" spans="4:5">
      <c r="D1665" s="2"/>
      <c r="E1665" s="2"/>
    </row>
    <row r="1666" spans="4:5">
      <c r="D1666" s="2"/>
      <c r="E1666" s="2"/>
    </row>
    <row r="1667" spans="4:5">
      <c r="D1667" s="2"/>
      <c r="E1667" s="2"/>
    </row>
    <row r="1668" spans="4:5">
      <c r="D1668" s="2"/>
      <c r="E1668" s="2"/>
    </row>
    <row r="1669" spans="4:5">
      <c r="D1669" s="2"/>
      <c r="E1669" s="2"/>
    </row>
    <row r="1670" spans="4:5">
      <c r="D1670" s="2"/>
      <c r="E1670" s="2"/>
    </row>
    <row r="1671" spans="4:5">
      <c r="D1671" s="2"/>
      <c r="E1671" s="2"/>
    </row>
    <row r="1672" spans="4:5">
      <c r="D1672" s="2"/>
      <c r="E1672" s="2"/>
    </row>
    <row r="1673" spans="4:5">
      <c r="D1673" s="2"/>
      <c r="E1673" s="2"/>
    </row>
    <row r="1674" spans="4:5">
      <c r="D1674" s="2"/>
      <c r="E1674" s="2"/>
    </row>
    <row r="1675" spans="4:5">
      <c r="D1675" s="2"/>
      <c r="E1675" s="2"/>
    </row>
    <row r="1676" spans="4:5">
      <c r="D1676" s="2"/>
      <c r="E1676" s="2"/>
    </row>
    <row r="1677" spans="4:5">
      <c r="D1677" s="2"/>
      <c r="E1677" s="2"/>
    </row>
    <row r="1678" spans="4:5">
      <c r="D1678" s="2"/>
      <c r="E1678" s="2"/>
    </row>
    <row r="1679" spans="4:5">
      <c r="D1679" s="2"/>
      <c r="E1679" s="2"/>
    </row>
    <row r="1680" spans="4:5">
      <c r="D1680" s="2"/>
      <c r="E1680" s="2"/>
    </row>
    <row r="1681" spans="4:5">
      <c r="D1681" s="2"/>
      <c r="E1681" s="2"/>
    </row>
    <row r="1682" spans="4:5">
      <c r="D1682" s="2"/>
      <c r="E1682" s="2"/>
    </row>
    <row r="1683" spans="4:5">
      <c r="D1683" s="2"/>
      <c r="E1683" s="2"/>
    </row>
    <row r="1684" spans="4:5">
      <c r="D1684" s="2"/>
      <c r="E1684" s="2"/>
    </row>
    <row r="1685" spans="4:5">
      <c r="D1685" s="2"/>
      <c r="E1685" s="2"/>
    </row>
    <row r="1686" spans="4:5">
      <c r="D1686" s="2"/>
      <c r="E1686" s="2"/>
    </row>
    <row r="1687" spans="4:5">
      <c r="D1687" s="2"/>
      <c r="E1687" s="2"/>
    </row>
    <row r="1688" spans="4:5">
      <c r="D1688" s="2"/>
      <c r="E1688" s="2"/>
    </row>
    <row r="1689" spans="4:5">
      <c r="D1689" s="2"/>
      <c r="E1689" s="2"/>
    </row>
    <row r="1690" spans="4:5">
      <c r="D1690" s="2"/>
      <c r="E1690" s="2"/>
    </row>
    <row r="1691" spans="4:5">
      <c r="D1691" s="2"/>
      <c r="E1691" s="2"/>
    </row>
    <row r="1692" spans="4:5">
      <c r="D1692" s="2"/>
      <c r="E1692" s="2"/>
    </row>
    <row r="1693" spans="4:5">
      <c r="D1693" s="2"/>
      <c r="E1693" s="2"/>
    </row>
    <row r="1694" spans="4:5">
      <c r="D1694" s="2"/>
      <c r="E1694" s="2"/>
    </row>
    <row r="1695" spans="4:5">
      <c r="D1695" s="2"/>
      <c r="E1695" s="2"/>
    </row>
    <row r="1696" spans="4:5">
      <c r="D1696" s="2"/>
      <c r="E1696" s="2"/>
    </row>
    <row r="1697" spans="4:5">
      <c r="D1697" s="2"/>
      <c r="E1697" s="2"/>
    </row>
    <row r="1698" spans="4:5">
      <c r="D1698" s="2"/>
      <c r="E1698" s="2"/>
    </row>
    <row r="1699" spans="4:5">
      <c r="D1699" s="2"/>
      <c r="E1699" s="2"/>
    </row>
    <row r="1700" spans="4:5">
      <c r="D1700" s="2"/>
      <c r="E1700" s="2"/>
    </row>
    <row r="1701" spans="4:5">
      <c r="D1701" s="2"/>
      <c r="E1701" s="2"/>
    </row>
    <row r="1702" spans="4:5">
      <c r="D1702" s="2"/>
      <c r="E1702" s="2"/>
    </row>
    <row r="1703" spans="4:5">
      <c r="D1703" s="2"/>
      <c r="E1703" s="2"/>
    </row>
    <row r="1704" spans="4:5">
      <c r="D1704" s="2"/>
      <c r="E1704" s="2"/>
    </row>
    <row r="1705" spans="4:5">
      <c r="D1705" s="2"/>
      <c r="E1705" s="2"/>
    </row>
    <row r="1706" spans="4:5">
      <c r="D1706" s="2"/>
      <c r="E1706" s="2"/>
    </row>
    <row r="1707" spans="4:5">
      <c r="D1707" s="2"/>
      <c r="E1707" s="2"/>
    </row>
    <row r="1708" spans="4:5">
      <c r="D1708" s="2"/>
      <c r="E1708" s="2"/>
    </row>
    <row r="1709" spans="4:5">
      <c r="D1709" s="2"/>
      <c r="E1709" s="2"/>
    </row>
    <row r="1710" spans="4:5">
      <c r="D1710" s="2"/>
      <c r="E1710" s="2"/>
    </row>
    <row r="1711" spans="4:5">
      <c r="D1711" s="2"/>
      <c r="E1711" s="2"/>
    </row>
    <row r="1712" spans="4:5">
      <c r="D1712" s="2"/>
      <c r="E1712" s="2"/>
    </row>
    <row r="1713" spans="4:5">
      <c r="D1713" s="2"/>
      <c r="E1713" s="2"/>
    </row>
    <row r="1714" spans="4:5">
      <c r="D1714" s="2"/>
      <c r="E1714" s="2"/>
    </row>
    <row r="1715" spans="4:5">
      <c r="D1715" s="2"/>
      <c r="E1715" s="2"/>
    </row>
    <row r="1716" spans="4:5">
      <c r="D1716" s="2"/>
      <c r="E1716" s="2"/>
    </row>
    <row r="1717" spans="4:5">
      <c r="D1717" s="2"/>
      <c r="E1717" s="2"/>
    </row>
    <row r="1718" spans="4:5">
      <c r="D1718" s="2"/>
      <c r="E1718" s="2"/>
    </row>
    <row r="1719" spans="4:5">
      <c r="D1719" s="2"/>
      <c r="E1719" s="2"/>
    </row>
    <row r="1720" spans="4:5">
      <c r="D1720" s="2"/>
      <c r="E1720" s="2"/>
    </row>
    <row r="1721" spans="4:5">
      <c r="D1721" s="2"/>
      <c r="E1721" s="2"/>
    </row>
    <row r="1722" spans="4:5">
      <c r="D1722" s="2"/>
      <c r="E1722" s="2"/>
    </row>
    <row r="1723" spans="4:5">
      <c r="D1723" s="2"/>
      <c r="E1723" s="2"/>
    </row>
    <row r="1724" spans="4:5">
      <c r="D1724" s="2"/>
      <c r="E1724" s="2"/>
    </row>
    <row r="1725" spans="4:5">
      <c r="D1725" s="2"/>
      <c r="E1725" s="2"/>
    </row>
    <row r="1726" spans="4:5">
      <c r="D1726" s="2"/>
      <c r="E1726" s="2"/>
    </row>
    <row r="1727" spans="4:5">
      <c r="D1727" s="2"/>
      <c r="E1727" s="2"/>
    </row>
    <row r="1728" spans="4:5">
      <c r="D1728" s="2"/>
      <c r="E1728" s="2"/>
    </row>
    <row r="1729" spans="4:5">
      <c r="D1729" s="2"/>
      <c r="E1729" s="2"/>
    </row>
    <row r="1730" spans="4:5">
      <c r="D1730" s="2"/>
      <c r="E1730" s="2"/>
    </row>
    <row r="1731" spans="4:5">
      <c r="D1731" s="2"/>
      <c r="E1731" s="2"/>
    </row>
    <row r="1732" spans="4:5">
      <c r="D1732" s="2"/>
      <c r="E1732" s="2"/>
    </row>
    <row r="1733" spans="4:5">
      <c r="D1733" s="2"/>
      <c r="E1733" s="2"/>
    </row>
    <row r="1734" spans="4:5">
      <c r="D1734" s="2"/>
      <c r="E1734" s="2"/>
    </row>
    <row r="1735" spans="4:5">
      <c r="D1735" s="2"/>
      <c r="E1735" s="2"/>
    </row>
    <row r="1736" spans="4:5">
      <c r="D1736" s="2"/>
      <c r="E1736" s="2"/>
    </row>
    <row r="1737" spans="4:5">
      <c r="D1737" s="2"/>
      <c r="E1737" s="2"/>
    </row>
    <row r="1738" spans="4:5">
      <c r="D1738" s="2"/>
      <c r="E1738" s="2"/>
    </row>
    <row r="1739" spans="4:5">
      <c r="D1739" s="2"/>
      <c r="E1739" s="2"/>
    </row>
    <row r="1740" spans="4:5">
      <c r="D1740" s="2"/>
      <c r="E1740" s="2"/>
    </row>
    <row r="1741" spans="4:5">
      <c r="D1741" s="2"/>
      <c r="E1741" s="2"/>
    </row>
    <row r="1742" spans="4:5">
      <c r="D1742" s="2"/>
      <c r="E1742" s="2"/>
    </row>
    <row r="1743" spans="4:5">
      <c r="D1743" s="2"/>
      <c r="E1743" s="2"/>
    </row>
    <row r="1744" spans="4:5">
      <c r="D1744" s="2"/>
      <c r="E1744" s="2"/>
    </row>
    <row r="1745" spans="4:5">
      <c r="D1745" s="2"/>
      <c r="E1745" s="2"/>
    </row>
    <row r="1746" spans="4:5">
      <c r="D1746" s="2"/>
      <c r="E1746" s="2"/>
    </row>
    <row r="1747" spans="4:5">
      <c r="D1747" s="2"/>
      <c r="E1747" s="2"/>
    </row>
    <row r="1748" spans="4:5">
      <c r="D1748" s="2"/>
      <c r="E1748" s="2"/>
    </row>
    <row r="1749" spans="4:5">
      <c r="D1749" s="2"/>
      <c r="E1749" s="2"/>
    </row>
    <row r="1750" spans="4:5">
      <c r="D1750" s="2"/>
      <c r="E1750" s="2"/>
    </row>
    <row r="1751" spans="4:5">
      <c r="D1751" s="2"/>
      <c r="E1751" s="2"/>
    </row>
    <row r="1752" spans="4:5">
      <c r="D1752" s="2"/>
      <c r="E1752" s="2"/>
    </row>
    <row r="1753" spans="4:5">
      <c r="D1753" s="2"/>
      <c r="E1753" s="2"/>
    </row>
    <row r="1754" spans="4:5">
      <c r="D1754" s="2"/>
      <c r="E1754" s="2"/>
    </row>
    <row r="1755" spans="4:5">
      <c r="D1755" s="2"/>
      <c r="E1755" s="2"/>
    </row>
    <row r="1756" spans="4:5">
      <c r="D1756" s="2"/>
      <c r="E1756" s="2"/>
    </row>
    <row r="1757" spans="4:5">
      <c r="D1757" s="2"/>
      <c r="E1757" s="2"/>
    </row>
    <row r="1758" spans="4:5">
      <c r="D1758" s="2"/>
      <c r="E1758" s="2"/>
    </row>
    <row r="1759" spans="4:5">
      <c r="D1759" s="2"/>
      <c r="E1759" s="2"/>
    </row>
    <row r="1760" spans="4:5">
      <c r="D1760" s="2"/>
      <c r="E1760" s="2"/>
    </row>
    <row r="1761" spans="4:5">
      <c r="D1761" s="2"/>
      <c r="E1761" s="2"/>
    </row>
    <row r="1762" spans="4:5">
      <c r="D1762" s="2"/>
      <c r="E1762" s="2"/>
    </row>
    <row r="1763" spans="4:5">
      <c r="D1763" s="2"/>
      <c r="E1763" s="2"/>
    </row>
    <row r="1764" spans="4:5">
      <c r="D1764" s="2"/>
      <c r="E1764" s="2"/>
    </row>
    <row r="1765" spans="4:5">
      <c r="D1765" s="2"/>
      <c r="E1765" s="2"/>
    </row>
    <row r="1766" spans="4:5">
      <c r="D1766" s="2"/>
      <c r="E1766" s="2"/>
    </row>
    <row r="1767" spans="4:5">
      <c r="D1767" s="2"/>
      <c r="E1767" s="2"/>
    </row>
    <row r="1768" spans="4:5">
      <c r="D1768" s="2"/>
      <c r="E1768" s="2"/>
    </row>
    <row r="1769" spans="4:5">
      <c r="D1769" s="2"/>
      <c r="E1769" s="2"/>
    </row>
    <row r="1770" spans="4:5">
      <c r="D1770" s="2"/>
      <c r="E1770" s="2"/>
    </row>
    <row r="1771" spans="4:5">
      <c r="D1771" s="2"/>
      <c r="E1771" s="2"/>
    </row>
    <row r="1772" spans="4:5">
      <c r="D1772" s="2"/>
      <c r="E1772" s="2"/>
    </row>
    <row r="1773" spans="4:5">
      <c r="D1773" s="2"/>
      <c r="E1773" s="2"/>
    </row>
    <row r="1774" spans="4:5">
      <c r="D1774" s="2"/>
      <c r="E1774" s="2"/>
    </row>
    <row r="1775" spans="4:5">
      <c r="D1775" s="2"/>
      <c r="E1775" s="2"/>
    </row>
    <row r="1776" spans="4:5">
      <c r="D1776" s="2"/>
      <c r="E1776" s="2"/>
    </row>
    <row r="1777" spans="4:5">
      <c r="D1777" s="2"/>
      <c r="E1777" s="2"/>
    </row>
    <row r="1778" spans="4:5">
      <c r="D1778" s="2"/>
      <c r="E1778" s="2"/>
    </row>
    <row r="1779" spans="4:5">
      <c r="D1779" s="2"/>
      <c r="E1779" s="2"/>
    </row>
    <row r="1780" spans="4:5">
      <c r="D1780" s="2"/>
      <c r="E1780" s="2"/>
    </row>
    <row r="1781" spans="4:5">
      <c r="D1781" s="2"/>
      <c r="E1781" s="2"/>
    </row>
    <row r="1782" spans="4:5">
      <c r="D1782" s="2"/>
      <c r="E1782" s="2"/>
    </row>
    <row r="1783" spans="4:5">
      <c r="D1783" s="2"/>
      <c r="E1783" s="2"/>
    </row>
    <row r="1784" spans="4:5">
      <c r="D1784" s="2"/>
      <c r="E1784" s="2"/>
    </row>
    <row r="1785" spans="4:5">
      <c r="D1785" s="2"/>
      <c r="E1785" s="2"/>
    </row>
    <row r="1786" spans="4:5">
      <c r="D1786" s="2"/>
      <c r="E1786" s="2"/>
    </row>
    <row r="1787" spans="4:5">
      <c r="D1787" s="2"/>
      <c r="E1787" s="2"/>
    </row>
    <row r="1788" spans="4:5">
      <c r="D1788" s="2"/>
      <c r="E1788" s="2"/>
    </row>
    <row r="1789" spans="4:5">
      <c r="D1789" s="2"/>
      <c r="E1789" s="2"/>
    </row>
    <row r="1790" spans="4:5">
      <c r="D1790" s="2"/>
      <c r="E1790" s="2"/>
    </row>
    <row r="1791" spans="4:5">
      <c r="D1791" s="2"/>
      <c r="E1791" s="2"/>
    </row>
    <row r="1792" spans="4:5">
      <c r="D1792" s="2"/>
      <c r="E1792" s="2"/>
    </row>
    <row r="1793" spans="4:5">
      <c r="D1793" s="2"/>
      <c r="E1793" s="2"/>
    </row>
    <row r="1794" spans="4:5">
      <c r="D1794" s="2"/>
      <c r="E1794" s="2"/>
    </row>
    <row r="1795" spans="4:5">
      <c r="D1795" s="2"/>
      <c r="E1795" s="2"/>
    </row>
    <row r="1796" spans="4:5">
      <c r="D1796" s="2"/>
      <c r="E1796" s="2"/>
    </row>
    <row r="1797" spans="4:5">
      <c r="D1797" s="2"/>
      <c r="E1797" s="2"/>
    </row>
    <row r="1798" spans="4:5">
      <c r="D1798" s="2"/>
      <c r="E1798" s="2"/>
    </row>
    <row r="1799" spans="4:5">
      <c r="D1799" s="2"/>
      <c r="E1799" s="2"/>
    </row>
    <row r="1800" spans="4:5">
      <c r="D1800" s="2"/>
      <c r="E1800" s="2"/>
    </row>
    <row r="1801" spans="4:5">
      <c r="D1801" s="2"/>
      <c r="E1801" s="2"/>
    </row>
    <row r="1802" spans="4:5">
      <c r="D1802" s="2"/>
      <c r="E1802" s="2"/>
    </row>
    <row r="1803" spans="4:5">
      <c r="D1803" s="2"/>
      <c r="E1803" s="2"/>
    </row>
    <row r="1804" spans="4:5">
      <c r="D1804" s="2"/>
      <c r="E1804" s="2"/>
    </row>
    <row r="1805" spans="4:5">
      <c r="D1805" s="2"/>
      <c r="E1805" s="2"/>
    </row>
    <row r="1806" spans="4:5">
      <c r="D1806" s="2"/>
      <c r="E1806" s="2"/>
    </row>
    <row r="1807" spans="4:5">
      <c r="D1807" s="2"/>
      <c r="E1807" s="2"/>
    </row>
    <row r="1808" spans="4:5">
      <c r="D1808" s="2"/>
      <c r="E1808" s="2"/>
    </row>
    <row r="1809" spans="4:5">
      <c r="D1809" s="2"/>
      <c r="E1809" s="2"/>
    </row>
    <row r="1810" spans="4:5">
      <c r="D1810" s="2"/>
      <c r="E1810" s="2"/>
    </row>
    <row r="1811" spans="4:5">
      <c r="D1811" s="2"/>
      <c r="E1811" s="2"/>
    </row>
    <row r="1812" spans="4:5">
      <c r="D1812" s="2"/>
      <c r="E1812" s="2"/>
    </row>
    <row r="1813" spans="4:5">
      <c r="D1813" s="2"/>
      <c r="E1813" s="2"/>
    </row>
    <row r="1814" spans="4:5">
      <c r="D1814" s="2"/>
      <c r="E1814" s="2"/>
    </row>
    <row r="1815" spans="4:5">
      <c r="D1815" s="2"/>
      <c r="E1815" s="2"/>
    </row>
    <row r="1816" spans="4:5">
      <c r="D1816" s="2"/>
      <c r="E1816" s="2"/>
    </row>
    <row r="1817" spans="4:5">
      <c r="D1817" s="2"/>
      <c r="E1817" s="2"/>
    </row>
    <row r="1818" spans="4:5">
      <c r="D1818" s="2"/>
      <c r="E1818" s="2"/>
    </row>
    <row r="1819" spans="4:5">
      <c r="D1819" s="2"/>
      <c r="E1819" s="2"/>
    </row>
    <row r="1820" spans="4:5">
      <c r="D1820" s="2"/>
      <c r="E1820" s="2"/>
    </row>
    <row r="1821" spans="4:5">
      <c r="D1821" s="2"/>
      <c r="E1821" s="2"/>
    </row>
    <row r="1822" spans="4:5">
      <c r="D1822" s="2"/>
      <c r="E1822" s="2"/>
    </row>
    <row r="1823" spans="4:5">
      <c r="D1823" s="2"/>
      <c r="E1823" s="2"/>
    </row>
    <row r="1824" spans="4:5">
      <c r="D1824" s="2"/>
      <c r="E1824" s="2"/>
    </row>
    <row r="1825" spans="4:5">
      <c r="D1825" s="2"/>
      <c r="E1825" s="2"/>
    </row>
    <row r="1826" spans="4:5">
      <c r="D1826" s="2"/>
      <c r="E1826" s="2"/>
    </row>
    <row r="1827" spans="4:5">
      <c r="D1827" s="2"/>
      <c r="E1827" s="2"/>
    </row>
    <row r="1828" spans="4:5">
      <c r="D1828" s="2"/>
      <c r="E1828" s="2"/>
    </row>
    <row r="1829" spans="4:5">
      <c r="D1829" s="2"/>
      <c r="E1829" s="2"/>
    </row>
    <row r="1830" spans="4:5">
      <c r="D1830" s="2"/>
      <c r="E1830" s="2"/>
    </row>
    <row r="1831" spans="4:5">
      <c r="D1831" s="2"/>
      <c r="E1831" s="2"/>
    </row>
    <row r="1832" spans="4:5">
      <c r="D1832" s="2"/>
      <c r="E1832" s="2"/>
    </row>
    <row r="1833" spans="4:5">
      <c r="D1833" s="2"/>
      <c r="E1833" s="2"/>
    </row>
    <row r="1834" spans="4:5">
      <c r="D1834" s="2"/>
      <c r="E1834" s="2"/>
    </row>
    <row r="1835" spans="4:5">
      <c r="D1835" s="2"/>
      <c r="E1835" s="2"/>
    </row>
    <row r="1836" spans="4:5">
      <c r="D1836" s="2"/>
      <c r="E1836" s="2"/>
    </row>
    <row r="1837" spans="4:5">
      <c r="D1837" s="2"/>
      <c r="E1837" s="2"/>
    </row>
    <row r="1838" spans="4:5">
      <c r="D1838" s="2"/>
      <c r="E1838" s="2"/>
    </row>
    <row r="1839" spans="4:5">
      <c r="D1839" s="2"/>
      <c r="E1839" s="2"/>
    </row>
    <row r="1840" spans="4:5">
      <c r="D1840" s="2"/>
      <c r="E1840" s="2"/>
    </row>
    <row r="1841" spans="4:5">
      <c r="D1841" s="2"/>
      <c r="E1841" s="2"/>
    </row>
    <row r="1842" spans="4:5">
      <c r="D1842" s="2"/>
      <c r="E1842" s="2"/>
    </row>
    <row r="1843" spans="4:5">
      <c r="D1843" s="2"/>
      <c r="E1843" s="2"/>
    </row>
    <row r="1844" spans="4:5">
      <c r="D1844" s="2"/>
      <c r="E1844" s="2"/>
    </row>
    <row r="1845" spans="4:5">
      <c r="D1845" s="2"/>
      <c r="E1845" s="2"/>
    </row>
    <row r="1846" spans="4:5">
      <c r="D1846" s="2"/>
      <c r="E1846" s="2"/>
    </row>
    <row r="1847" spans="4:5">
      <c r="D1847" s="2"/>
      <c r="E1847" s="2"/>
    </row>
    <row r="1848" spans="4:5">
      <c r="D1848" s="2"/>
      <c r="E1848" s="2"/>
    </row>
    <row r="1849" spans="4:5">
      <c r="D1849" s="2"/>
      <c r="E1849" s="2"/>
    </row>
    <row r="1850" spans="4:5">
      <c r="D1850" s="2"/>
      <c r="E1850" s="2"/>
    </row>
    <row r="1851" spans="4:5">
      <c r="D1851" s="2"/>
      <c r="E1851" s="2"/>
    </row>
    <row r="1852" spans="4:5">
      <c r="D1852" s="2"/>
      <c r="E1852" s="2"/>
    </row>
    <row r="1853" spans="4:5">
      <c r="D1853" s="2"/>
      <c r="E1853" s="2"/>
    </row>
    <row r="1854" spans="4:5">
      <c r="D1854" s="2"/>
      <c r="E1854" s="2"/>
    </row>
    <row r="1855" spans="4:5">
      <c r="D1855" s="2"/>
      <c r="E1855" s="2"/>
    </row>
    <row r="1856" spans="4:5">
      <c r="D1856" s="2"/>
      <c r="E1856" s="2"/>
    </row>
    <row r="1857" spans="4:5">
      <c r="D1857" s="2"/>
      <c r="E1857" s="2"/>
    </row>
    <row r="1858" spans="4:5">
      <c r="D1858" s="2"/>
      <c r="E1858" s="2"/>
    </row>
    <row r="1859" spans="4:5">
      <c r="D1859" s="2"/>
      <c r="E1859" s="2"/>
    </row>
    <row r="1860" spans="4:5">
      <c r="D1860" s="2"/>
      <c r="E1860" s="2"/>
    </row>
    <row r="1861" spans="4:5">
      <c r="D1861" s="2"/>
      <c r="E1861" s="2"/>
    </row>
    <row r="1862" spans="4:5">
      <c r="D1862" s="2"/>
      <c r="E1862" s="2"/>
    </row>
    <row r="1863" spans="4:5">
      <c r="D1863" s="2"/>
      <c r="E1863" s="2"/>
    </row>
    <row r="1864" spans="4:5">
      <c r="D1864" s="2"/>
      <c r="E1864" s="2"/>
    </row>
    <row r="1865" spans="4:5">
      <c r="D1865" s="2"/>
      <c r="E1865" s="2"/>
    </row>
    <row r="1866" spans="4:5">
      <c r="D1866" s="2"/>
      <c r="E1866" s="2"/>
    </row>
    <row r="1867" spans="4:5">
      <c r="D1867" s="2"/>
      <c r="E1867" s="2"/>
    </row>
    <row r="1868" spans="4:5">
      <c r="D1868" s="2"/>
      <c r="E1868" s="2"/>
    </row>
    <row r="1869" spans="4:5">
      <c r="D1869" s="2"/>
      <c r="E1869" s="2"/>
    </row>
    <row r="1870" spans="4:5">
      <c r="D1870" s="2"/>
      <c r="E1870" s="2"/>
    </row>
    <row r="1871" spans="4:5">
      <c r="D1871" s="2"/>
      <c r="E1871" s="2"/>
    </row>
    <row r="1872" spans="4:5">
      <c r="D1872" s="2"/>
      <c r="E1872" s="2"/>
    </row>
    <row r="1873" spans="4:5">
      <c r="D1873" s="2"/>
      <c r="E1873" s="2"/>
    </row>
    <row r="1874" spans="4:5">
      <c r="D1874" s="2"/>
      <c r="E1874" s="2"/>
    </row>
    <row r="1875" spans="4:5">
      <c r="D1875" s="2"/>
      <c r="E1875" s="2"/>
    </row>
    <row r="1876" spans="4:5">
      <c r="D1876" s="2"/>
      <c r="E1876" s="2"/>
    </row>
    <row r="1877" spans="4:5">
      <c r="D1877" s="2"/>
      <c r="E1877" s="2"/>
    </row>
    <row r="1878" spans="4:5">
      <c r="D1878" s="2"/>
      <c r="E1878" s="2"/>
    </row>
    <row r="1879" spans="4:5">
      <c r="D1879" s="2"/>
      <c r="E1879" s="2"/>
    </row>
    <row r="1880" spans="4:5">
      <c r="D1880" s="2"/>
      <c r="E1880" s="2"/>
    </row>
    <row r="1881" spans="4:5">
      <c r="D1881" s="2"/>
      <c r="E1881" s="2"/>
    </row>
    <row r="1882" spans="4:5">
      <c r="D1882" s="2"/>
      <c r="E1882" s="2"/>
    </row>
    <row r="1883" spans="4:5">
      <c r="D1883" s="2"/>
      <c r="E1883" s="2"/>
    </row>
    <row r="1884" spans="4:5">
      <c r="D1884" s="2"/>
      <c r="E1884" s="2"/>
    </row>
    <row r="1885" spans="4:5">
      <c r="D1885" s="2"/>
      <c r="E1885" s="2"/>
    </row>
    <row r="1886" spans="4:5">
      <c r="D1886" s="2"/>
      <c r="E1886" s="2"/>
    </row>
    <row r="1887" spans="4:5">
      <c r="D1887" s="2"/>
      <c r="E1887" s="2"/>
    </row>
    <row r="1888" spans="4:5">
      <c r="D1888" s="2"/>
      <c r="E1888" s="2"/>
    </row>
    <row r="1889" spans="4:5">
      <c r="D1889" s="2"/>
      <c r="E1889" s="2"/>
    </row>
    <row r="1890" spans="4:5">
      <c r="D1890" s="2"/>
      <c r="E1890" s="2"/>
    </row>
    <row r="1891" spans="4:5">
      <c r="D1891" s="2"/>
      <c r="E1891" s="2"/>
    </row>
    <row r="1892" spans="4:5">
      <c r="D1892" s="2"/>
      <c r="E1892" s="2"/>
    </row>
    <row r="1893" spans="4:5">
      <c r="D1893" s="2"/>
      <c r="E1893" s="2"/>
    </row>
    <row r="1894" spans="4:5">
      <c r="D1894" s="2"/>
      <c r="E1894" s="2"/>
    </row>
    <row r="1895" spans="4:5">
      <c r="D1895" s="2"/>
      <c r="E1895" s="2"/>
    </row>
    <row r="1896" spans="4:5">
      <c r="D1896" s="2"/>
      <c r="E1896" s="2"/>
    </row>
    <row r="1897" spans="4:5">
      <c r="D1897" s="2"/>
      <c r="E1897" s="2"/>
    </row>
    <row r="1898" spans="4:5">
      <c r="D1898" s="2"/>
      <c r="E1898" s="2"/>
    </row>
    <row r="1899" spans="4:5">
      <c r="D1899" s="2"/>
      <c r="E1899" s="2"/>
    </row>
    <row r="1900" spans="4:5">
      <c r="D1900" s="2"/>
      <c r="E1900" s="2"/>
    </row>
    <row r="1901" spans="4:5">
      <c r="D1901" s="2"/>
      <c r="E1901" s="2"/>
    </row>
    <row r="1902" spans="4:5">
      <c r="D1902" s="2"/>
      <c r="E1902" s="2"/>
    </row>
    <row r="1903" spans="4:5">
      <c r="D1903" s="2"/>
      <c r="E1903" s="2"/>
    </row>
    <row r="1904" spans="4:5">
      <c r="D1904" s="2"/>
      <c r="E1904" s="2"/>
    </row>
    <row r="1905" spans="4:5">
      <c r="D1905" s="2"/>
      <c r="E1905" s="2"/>
    </row>
    <row r="1906" spans="4:5">
      <c r="D1906" s="2"/>
      <c r="E1906" s="2"/>
    </row>
    <row r="1907" spans="4:5">
      <c r="D1907" s="2"/>
      <c r="E1907" s="2"/>
    </row>
    <row r="1908" spans="4:5">
      <c r="D1908" s="2"/>
      <c r="E1908" s="2"/>
    </row>
    <row r="1909" spans="4:5">
      <c r="D1909" s="2"/>
      <c r="E1909" s="2"/>
    </row>
    <row r="1910" spans="4:5">
      <c r="D1910" s="2"/>
      <c r="E1910" s="2"/>
    </row>
    <row r="1911" spans="4:5">
      <c r="D1911" s="2"/>
      <c r="E1911" s="2"/>
    </row>
    <row r="1912" spans="4:5">
      <c r="D1912" s="2"/>
      <c r="E1912" s="2"/>
    </row>
    <row r="1913" spans="4:5">
      <c r="D1913" s="2"/>
      <c r="E1913" s="2"/>
    </row>
    <row r="1914" spans="4:5">
      <c r="D1914" s="2"/>
      <c r="E1914" s="2"/>
    </row>
    <row r="1915" spans="4:5">
      <c r="D1915" s="2"/>
      <c r="E1915" s="2"/>
    </row>
    <row r="1916" spans="4:5">
      <c r="D1916" s="2"/>
      <c r="E1916" s="2"/>
    </row>
    <row r="1917" spans="4:5">
      <c r="D1917" s="2"/>
      <c r="E1917" s="2"/>
    </row>
    <row r="1918" spans="4:5">
      <c r="D1918" s="2"/>
      <c r="E1918" s="2"/>
    </row>
    <row r="1919" spans="4:5">
      <c r="D1919" s="2"/>
      <c r="E1919" s="2"/>
    </row>
    <row r="1920" spans="4:5">
      <c r="D1920" s="2"/>
      <c r="E1920" s="2"/>
    </row>
    <row r="1921" spans="4:5">
      <c r="D1921" s="2"/>
      <c r="E1921" s="2"/>
    </row>
    <row r="1922" spans="4:5">
      <c r="D1922" s="2"/>
      <c r="E1922" s="2"/>
    </row>
    <row r="1923" spans="4:5">
      <c r="D1923" s="2"/>
      <c r="E1923" s="2"/>
    </row>
    <row r="1924" spans="4:5">
      <c r="D1924" s="2"/>
      <c r="E1924" s="2"/>
    </row>
    <row r="1925" spans="4:5">
      <c r="D1925" s="2"/>
      <c r="E1925" s="2"/>
    </row>
    <row r="1926" spans="4:5">
      <c r="D1926" s="2"/>
      <c r="E1926" s="2"/>
    </row>
    <row r="1927" spans="4:5">
      <c r="D1927" s="2"/>
      <c r="E1927" s="2"/>
    </row>
    <row r="1928" spans="4:5">
      <c r="D1928" s="2"/>
      <c r="E1928" s="2"/>
    </row>
    <row r="1929" spans="4:5">
      <c r="D1929" s="2"/>
      <c r="E1929" s="2"/>
    </row>
    <row r="1930" spans="4:5">
      <c r="D1930" s="2"/>
      <c r="E1930" s="2"/>
    </row>
    <row r="1931" spans="4:5">
      <c r="D1931" s="2"/>
      <c r="E1931" s="2"/>
    </row>
    <row r="1932" spans="4:5">
      <c r="D1932" s="2"/>
      <c r="E1932" s="2"/>
    </row>
    <row r="1933" spans="4:5">
      <c r="D1933" s="2"/>
      <c r="E1933" s="2"/>
    </row>
    <row r="1934" spans="4:5">
      <c r="D1934" s="2"/>
      <c r="E1934" s="2"/>
    </row>
    <row r="1935" spans="4:5">
      <c r="D1935" s="2"/>
      <c r="E1935" s="2"/>
    </row>
    <row r="1936" spans="4:5">
      <c r="D1936" s="2"/>
      <c r="E1936" s="2"/>
    </row>
    <row r="1937" spans="4:5">
      <c r="D1937" s="2"/>
      <c r="E1937" s="2"/>
    </row>
    <row r="1938" spans="4:5">
      <c r="D1938" s="2"/>
      <c r="E1938" s="2"/>
    </row>
    <row r="1939" spans="4:5">
      <c r="D1939" s="2"/>
      <c r="E1939" s="2"/>
    </row>
    <row r="1940" spans="4:5">
      <c r="D1940" s="2"/>
      <c r="E1940" s="2"/>
    </row>
    <row r="1941" spans="4:5">
      <c r="D1941" s="2"/>
      <c r="E1941" s="2"/>
    </row>
    <row r="1942" spans="4:5">
      <c r="D1942" s="2"/>
      <c r="E1942" s="2"/>
    </row>
    <row r="1943" spans="4:5">
      <c r="D1943" s="2"/>
      <c r="E1943" s="2"/>
    </row>
    <row r="1944" spans="4:5">
      <c r="D1944" s="2"/>
      <c r="E1944" s="2"/>
    </row>
    <row r="1945" spans="4:5">
      <c r="D1945" s="2"/>
      <c r="E1945" s="2"/>
    </row>
    <row r="1946" spans="4:5">
      <c r="D1946" s="2"/>
      <c r="E1946" s="2"/>
    </row>
    <row r="1947" spans="4:5">
      <c r="D1947" s="2"/>
      <c r="E1947" s="2"/>
    </row>
    <row r="1948" spans="4:5">
      <c r="D1948" s="2"/>
      <c r="E1948" s="2"/>
    </row>
    <row r="1949" spans="4:5">
      <c r="D1949" s="2"/>
      <c r="E1949" s="2"/>
    </row>
    <row r="1950" spans="4:5">
      <c r="D1950" s="2"/>
      <c r="E1950" s="2"/>
    </row>
    <row r="1951" spans="4:5">
      <c r="D1951" s="2"/>
      <c r="E1951" s="2"/>
    </row>
    <row r="1952" spans="4:5">
      <c r="D1952" s="2"/>
      <c r="E1952" s="2"/>
    </row>
    <row r="1953" spans="4:5">
      <c r="D1953" s="2"/>
      <c r="E1953" s="2"/>
    </row>
    <row r="1954" spans="4:5">
      <c r="D1954" s="2"/>
      <c r="E1954" s="2"/>
    </row>
    <row r="1955" spans="4:5">
      <c r="D1955" s="2"/>
      <c r="E1955" s="2"/>
    </row>
    <row r="1956" spans="4:5">
      <c r="D1956" s="2"/>
      <c r="E1956" s="2"/>
    </row>
    <row r="1957" spans="4:5">
      <c r="D1957" s="2"/>
      <c r="E1957" s="2"/>
    </row>
    <row r="1958" spans="4:5">
      <c r="D1958" s="2"/>
      <c r="E1958" s="2"/>
    </row>
    <row r="1959" spans="4:5">
      <c r="D1959" s="2"/>
      <c r="E1959" s="2"/>
    </row>
    <row r="1960" spans="4:5">
      <c r="D1960" s="2"/>
      <c r="E1960" s="2"/>
    </row>
    <row r="1961" spans="4:5">
      <c r="D1961" s="2"/>
      <c r="E1961" s="2"/>
    </row>
    <row r="1962" spans="4:5">
      <c r="D1962" s="2"/>
      <c r="E1962" s="2"/>
    </row>
    <row r="1963" spans="4:5">
      <c r="D1963" s="2"/>
      <c r="E1963" s="2"/>
    </row>
    <row r="1964" spans="4:5">
      <c r="D1964" s="2"/>
      <c r="E1964" s="2"/>
    </row>
    <row r="1965" spans="4:5">
      <c r="D1965" s="2"/>
      <c r="E1965" s="2"/>
    </row>
    <row r="1966" spans="4:5">
      <c r="D1966" s="2"/>
      <c r="E1966" s="2"/>
    </row>
    <row r="1967" spans="4:5">
      <c r="D1967" s="2"/>
      <c r="E1967" s="2"/>
    </row>
    <row r="1968" spans="4:5">
      <c r="D1968" s="2"/>
      <c r="E1968" s="2"/>
    </row>
    <row r="1969" spans="4:5">
      <c r="D1969" s="2"/>
      <c r="E1969" s="2"/>
    </row>
    <row r="1970" spans="4:5">
      <c r="D1970" s="2"/>
      <c r="E1970" s="2"/>
    </row>
    <row r="1971" spans="4:5">
      <c r="D1971" s="2"/>
      <c r="E1971" s="2"/>
    </row>
    <row r="1972" spans="4:5">
      <c r="D1972" s="2"/>
      <c r="E1972" s="2"/>
    </row>
    <row r="1973" spans="4:5">
      <c r="D1973" s="2"/>
      <c r="E1973" s="2"/>
    </row>
    <row r="1974" spans="4:5">
      <c r="D1974" s="2"/>
      <c r="E1974" s="2"/>
    </row>
    <row r="1975" spans="4:5">
      <c r="D1975" s="2"/>
      <c r="E1975" s="2"/>
    </row>
    <row r="1976" spans="4:5">
      <c r="D1976" s="2"/>
      <c r="E1976" s="2"/>
    </row>
    <row r="1977" spans="4:5">
      <c r="D1977" s="2"/>
      <c r="E1977" s="2"/>
    </row>
    <row r="1978" spans="4:5">
      <c r="D1978" s="2"/>
      <c r="E1978" s="2"/>
    </row>
    <row r="1979" spans="4:5">
      <c r="D1979" s="2"/>
      <c r="E1979" s="2"/>
    </row>
    <row r="1980" spans="4:5">
      <c r="D1980" s="2"/>
      <c r="E1980" s="2"/>
    </row>
    <row r="1981" spans="4:5">
      <c r="D1981" s="2"/>
      <c r="E1981" s="2"/>
    </row>
    <row r="1982" spans="4:5">
      <c r="D1982" s="2"/>
      <c r="E1982" s="2"/>
    </row>
    <row r="1983" spans="4:5">
      <c r="D1983" s="2"/>
      <c r="E1983" s="2"/>
    </row>
    <row r="1984" spans="4:5">
      <c r="D1984" s="2"/>
      <c r="E1984" s="2"/>
    </row>
    <row r="1985" spans="4:5">
      <c r="D1985" s="2"/>
      <c r="E1985" s="2"/>
    </row>
    <row r="1986" spans="4:5">
      <c r="D1986" s="2"/>
      <c r="E1986" s="2"/>
    </row>
    <row r="1987" spans="4:5">
      <c r="D1987" s="2"/>
      <c r="E1987" s="2"/>
    </row>
    <row r="1988" spans="4:5">
      <c r="D1988" s="2"/>
      <c r="E1988" s="2"/>
    </row>
    <row r="1989" spans="4:5">
      <c r="D1989" s="2"/>
      <c r="E1989" s="2"/>
    </row>
    <row r="1990" spans="4:5">
      <c r="D1990" s="2"/>
      <c r="E1990" s="2"/>
    </row>
    <row r="1991" spans="4:5">
      <c r="D1991" s="2"/>
      <c r="E1991" s="2"/>
    </row>
    <row r="1992" spans="4:5">
      <c r="D1992" s="2"/>
      <c r="E1992" s="2"/>
    </row>
    <row r="1993" spans="4:5">
      <c r="D1993" s="2"/>
      <c r="E1993" s="2"/>
    </row>
    <row r="1994" spans="4:5">
      <c r="D1994" s="2"/>
      <c r="E1994" s="2"/>
    </row>
    <row r="1995" spans="4:5">
      <c r="D1995" s="2"/>
      <c r="E1995" s="2"/>
    </row>
    <row r="1996" spans="4:5">
      <c r="D1996" s="2"/>
      <c r="E1996" s="2"/>
    </row>
    <row r="1997" spans="4:5">
      <c r="D1997" s="2"/>
      <c r="E1997" s="2"/>
    </row>
    <row r="1998" spans="4:5">
      <c r="D1998" s="2"/>
      <c r="E1998" s="2"/>
    </row>
    <row r="1999" spans="4:5">
      <c r="D1999" s="2"/>
      <c r="E1999" s="2"/>
    </row>
    <row r="2000" spans="4:5">
      <c r="D2000" s="2"/>
      <c r="E2000" s="2"/>
    </row>
    <row r="2001" spans="4:5">
      <c r="D2001" s="2"/>
      <c r="E2001" s="2"/>
    </row>
    <row r="2002" spans="4:5">
      <c r="D2002" s="2"/>
      <c r="E2002" s="2"/>
    </row>
    <row r="2003" spans="4:5">
      <c r="D2003" s="2"/>
      <c r="E2003" s="2"/>
    </row>
    <row r="2004" spans="4:5">
      <c r="D2004" s="2"/>
      <c r="E2004" s="2"/>
    </row>
    <row r="2005" spans="4:5">
      <c r="D2005" s="2"/>
      <c r="E2005" s="2"/>
    </row>
    <row r="2006" spans="4:5">
      <c r="D2006" s="2"/>
      <c r="E2006" s="2"/>
    </row>
    <row r="2007" spans="4:5">
      <c r="D2007" s="2"/>
      <c r="E2007" s="2"/>
    </row>
    <row r="2008" spans="4:5">
      <c r="D2008" s="2"/>
      <c r="E2008" s="2"/>
    </row>
    <row r="2009" spans="4:5">
      <c r="D2009" s="2"/>
      <c r="E2009" s="2"/>
    </row>
    <row r="2010" spans="4:5">
      <c r="D2010" s="2"/>
      <c r="E2010" s="2"/>
    </row>
    <row r="2011" spans="4:5">
      <c r="D2011" s="2"/>
      <c r="E2011" s="2"/>
    </row>
    <row r="2012" spans="4:5">
      <c r="D2012" s="2"/>
      <c r="E2012" s="2"/>
    </row>
    <row r="2013" spans="4:5">
      <c r="D2013" s="2"/>
      <c r="E2013" s="2"/>
    </row>
    <row r="2014" spans="4:5">
      <c r="D2014" s="2"/>
      <c r="E2014" s="2"/>
    </row>
    <row r="2015" spans="4:5">
      <c r="D2015" s="2"/>
      <c r="E2015" s="2"/>
    </row>
    <row r="2016" spans="4:5">
      <c r="D2016" s="2"/>
      <c r="E2016" s="2"/>
    </row>
    <row r="2017" spans="4:5">
      <c r="D2017" s="2"/>
      <c r="E2017" s="2"/>
    </row>
    <row r="2018" spans="4:5">
      <c r="D2018" s="2"/>
      <c r="E2018" s="2"/>
    </row>
    <row r="2019" spans="4:5">
      <c r="D2019" s="2"/>
      <c r="E2019" s="2"/>
    </row>
    <row r="2020" spans="4:5">
      <c r="D2020" s="2"/>
      <c r="E2020" s="2"/>
    </row>
    <row r="2021" spans="4:5">
      <c r="D2021" s="2"/>
      <c r="E2021" s="2"/>
    </row>
    <row r="2022" spans="4:5">
      <c r="D2022" s="2"/>
      <c r="E2022" s="2"/>
    </row>
    <row r="2023" spans="4:5">
      <c r="D2023" s="2"/>
      <c r="E2023" s="2"/>
    </row>
    <row r="2024" spans="4:5">
      <c r="D2024" s="2"/>
      <c r="E2024" s="2"/>
    </row>
    <row r="2025" spans="4:5">
      <c r="D2025" s="2"/>
      <c r="E2025" s="2"/>
    </row>
    <row r="2026" spans="4:5">
      <c r="D2026" s="2"/>
      <c r="E2026" s="2"/>
    </row>
    <row r="2027" spans="4:5">
      <c r="D2027" s="2"/>
      <c r="E2027" s="2"/>
    </row>
    <row r="2028" spans="4:5">
      <c r="D2028" s="2"/>
      <c r="E2028" s="2"/>
    </row>
    <row r="2029" spans="4:5">
      <c r="D2029" s="2"/>
      <c r="E2029" s="2"/>
    </row>
    <row r="2030" spans="4:5">
      <c r="D2030" s="2"/>
      <c r="E2030" s="2"/>
    </row>
    <row r="2031" spans="4:5">
      <c r="D2031" s="2"/>
      <c r="E2031" s="2"/>
    </row>
    <row r="2032" spans="4:5">
      <c r="D2032" s="2"/>
      <c r="E2032" s="2"/>
    </row>
    <row r="2033" spans="4:5">
      <c r="D2033" s="2"/>
      <c r="E2033" s="2"/>
    </row>
    <row r="2034" spans="4:5">
      <c r="D2034" s="2"/>
      <c r="E2034" s="2"/>
    </row>
    <row r="2035" spans="4:5">
      <c r="D2035" s="2"/>
      <c r="E2035" s="2"/>
    </row>
    <row r="2036" spans="4:5">
      <c r="D2036" s="2"/>
      <c r="E2036" s="2"/>
    </row>
    <row r="2037" spans="4:5">
      <c r="D2037" s="2"/>
      <c r="E2037" s="2"/>
    </row>
    <row r="2038" spans="4:5">
      <c r="D2038" s="2"/>
      <c r="E2038" s="2"/>
    </row>
    <row r="2039" spans="4:5">
      <c r="D2039" s="2"/>
      <c r="E2039" s="2"/>
    </row>
    <row r="2040" spans="4:5">
      <c r="D2040" s="2"/>
      <c r="E2040" s="2"/>
    </row>
    <row r="2041" spans="4:5">
      <c r="D2041" s="2"/>
      <c r="E2041" s="2"/>
    </row>
    <row r="2042" spans="4:5">
      <c r="D2042" s="2"/>
      <c r="E2042" s="2"/>
    </row>
    <row r="2043" spans="4:5">
      <c r="D2043" s="2"/>
      <c r="E2043" s="2"/>
    </row>
    <row r="2044" spans="4:5">
      <c r="D2044" s="2"/>
      <c r="E2044" s="2"/>
    </row>
    <row r="2045" spans="4:5">
      <c r="D2045" s="2"/>
      <c r="E2045" s="2"/>
    </row>
    <row r="2046" spans="4:5">
      <c r="D2046" s="2"/>
      <c r="E2046" s="2"/>
    </row>
    <row r="2047" spans="4:5">
      <c r="D2047" s="2"/>
      <c r="E2047" s="2"/>
    </row>
    <row r="2048" spans="4:5">
      <c r="D2048" s="2"/>
      <c r="E2048" s="2"/>
    </row>
    <row r="2049" spans="4:5">
      <c r="D2049" s="2"/>
      <c r="E2049" s="2"/>
    </row>
    <row r="2050" spans="4:5">
      <c r="D2050" s="2"/>
      <c r="E2050" s="2"/>
    </row>
    <row r="2051" spans="4:5">
      <c r="D2051" s="2"/>
      <c r="E2051" s="2"/>
    </row>
    <row r="2052" spans="4:5">
      <c r="D2052" s="2"/>
      <c r="E2052" s="2"/>
    </row>
    <row r="2053" spans="4:5">
      <c r="D2053" s="2"/>
      <c r="E2053" s="2"/>
    </row>
    <row r="2054" spans="4:5">
      <c r="D2054" s="2"/>
      <c r="E2054" s="2"/>
    </row>
    <row r="2055" spans="4:5">
      <c r="D2055" s="2"/>
      <c r="E2055" s="2"/>
    </row>
    <row r="2056" spans="4:5">
      <c r="D2056" s="2"/>
      <c r="E2056" s="2"/>
    </row>
    <row r="2057" spans="4:5">
      <c r="D2057" s="2"/>
      <c r="E2057" s="2"/>
    </row>
    <row r="2058" spans="4:5">
      <c r="D2058" s="2"/>
      <c r="E2058" s="2"/>
    </row>
    <row r="2059" spans="4:5">
      <c r="D2059" s="2"/>
      <c r="E2059" s="2"/>
    </row>
    <row r="2060" spans="4:5">
      <c r="D2060" s="2"/>
      <c r="E2060" s="2"/>
    </row>
    <row r="2061" spans="4:5">
      <c r="D2061" s="2"/>
      <c r="E2061" s="2"/>
    </row>
    <row r="2062" spans="4:5">
      <c r="D2062" s="2"/>
      <c r="E2062" s="2"/>
    </row>
    <row r="2063" spans="4:5">
      <c r="D2063" s="2"/>
      <c r="E2063" s="2"/>
    </row>
    <row r="2064" spans="4:5">
      <c r="D2064" s="2"/>
      <c r="E2064" s="2"/>
    </row>
    <row r="2065" spans="4:5">
      <c r="D2065" s="2"/>
      <c r="E2065" s="2"/>
    </row>
    <row r="2066" spans="4:5">
      <c r="D2066" s="2"/>
      <c r="E2066" s="2"/>
    </row>
    <row r="2067" spans="4:5">
      <c r="D2067" s="2"/>
      <c r="E2067" s="2"/>
    </row>
    <row r="2068" spans="4:5">
      <c r="D2068" s="2"/>
      <c r="E2068" s="2"/>
    </row>
    <row r="2069" spans="4:5">
      <c r="D2069" s="2"/>
      <c r="E2069" s="2"/>
    </row>
    <row r="2070" spans="4:5">
      <c r="D2070" s="2"/>
      <c r="E2070" s="2"/>
    </row>
    <row r="2071" spans="4:5">
      <c r="D2071" s="2"/>
      <c r="E2071" s="2"/>
    </row>
    <row r="2072" spans="4:5">
      <c r="D2072" s="2"/>
      <c r="E2072" s="2"/>
    </row>
    <row r="2073" spans="4:5">
      <c r="D2073" s="2"/>
      <c r="E2073" s="2"/>
    </row>
    <row r="2074" spans="4:5">
      <c r="D2074" s="2"/>
      <c r="E2074" s="2"/>
    </row>
    <row r="2075" spans="4:5">
      <c r="D2075" s="2"/>
      <c r="E2075" s="2"/>
    </row>
    <row r="2076" spans="4:5">
      <c r="D2076" s="2"/>
      <c r="E2076" s="2"/>
    </row>
    <row r="2077" spans="4:5">
      <c r="D2077" s="2"/>
      <c r="E2077" s="2"/>
    </row>
    <row r="2078" spans="4:5">
      <c r="D2078" s="2"/>
      <c r="E2078" s="2"/>
    </row>
    <row r="2079" spans="4:5">
      <c r="D2079" s="2"/>
      <c r="E2079" s="2"/>
    </row>
    <row r="2080" spans="4:5">
      <c r="D2080" s="2"/>
      <c r="E2080" s="2"/>
    </row>
    <row r="2081" spans="4:5">
      <c r="D2081" s="2"/>
      <c r="E2081" s="2"/>
    </row>
    <row r="2082" spans="4:5">
      <c r="D2082" s="2"/>
      <c r="E2082" s="2"/>
    </row>
    <row r="2083" spans="4:5">
      <c r="D2083" s="2"/>
      <c r="E2083" s="2"/>
    </row>
    <row r="2084" spans="4:5">
      <c r="D2084" s="2"/>
      <c r="E2084" s="2"/>
    </row>
    <row r="2085" spans="4:5">
      <c r="D2085" s="2"/>
      <c r="E2085" s="2"/>
    </row>
    <row r="2086" spans="4:5">
      <c r="D2086" s="2"/>
      <c r="E2086" s="2"/>
    </row>
    <row r="2087" spans="4:5">
      <c r="D2087" s="2"/>
      <c r="E2087" s="2"/>
    </row>
    <row r="2088" spans="4:5">
      <c r="D2088" s="2"/>
      <c r="E2088" s="2"/>
    </row>
    <row r="2089" spans="4:5">
      <c r="D2089" s="2"/>
      <c r="E2089" s="2"/>
    </row>
    <row r="2090" spans="4:5">
      <c r="D2090" s="2"/>
      <c r="E2090" s="2"/>
    </row>
    <row r="2091" spans="4:5">
      <c r="D2091" s="2"/>
      <c r="E2091" s="2"/>
    </row>
    <row r="2092" spans="4:5">
      <c r="D2092" s="2"/>
      <c r="E2092" s="2"/>
    </row>
    <row r="2093" spans="4:5">
      <c r="D2093" s="2"/>
      <c r="E2093" s="2"/>
    </row>
    <row r="2094" spans="4:5">
      <c r="D2094" s="2"/>
      <c r="E2094" s="2"/>
    </row>
    <row r="2095" spans="4:5">
      <c r="D2095" s="2"/>
      <c r="E2095" s="2"/>
    </row>
    <row r="2096" spans="4:5">
      <c r="D2096" s="2"/>
      <c r="E2096" s="2"/>
    </row>
    <row r="2097" spans="4:5">
      <c r="D2097" s="2"/>
      <c r="E2097" s="2"/>
    </row>
    <row r="2098" spans="4:5">
      <c r="D2098" s="2"/>
      <c r="E2098" s="2"/>
    </row>
    <row r="2099" spans="4:5">
      <c r="D2099" s="2"/>
      <c r="E2099" s="2"/>
    </row>
    <row r="2100" spans="4:5">
      <c r="D2100" s="2"/>
      <c r="E2100" s="2"/>
    </row>
    <row r="2101" spans="4:5">
      <c r="D2101" s="2"/>
      <c r="E2101" s="2"/>
    </row>
    <row r="2102" spans="4:5">
      <c r="D2102" s="2"/>
      <c r="E2102" s="2"/>
    </row>
    <row r="2103" spans="4:5">
      <c r="D2103" s="2"/>
      <c r="E2103" s="2"/>
    </row>
    <row r="2104" spans="4:5">
      <c r="D2104" s="2"/>
      <c r="E2104" s="2"/>
    </row>
    <row r="2105" spans="4:5">
      <c r="D2105" s="2"/>
      <c r="E2105" s="2"/>
    </row>
    <row r="2106" spans="4:5">
      <c r="D2106" s="2"/>
      <c r="E2106" s="2"/>
    </row>
    <row r="2107" spans="4:5">
      <c r="D2107" s="2"/>
      <c r="E2107" s="2"/>
    </row>
    <row r="2108" spans="4:5">
      <c r="D2108" s="2"/>
      <c r="E2108" s="2"/>
    </row>
    <row r="2109" spans="4:5">
      <c r="D2109" s="2"/>
      <c r="E2109" s="2"/>
    </row>
    <row r="2110" spans="4:5">
      <c r="D2110" s="2"/>
      <c r="E2110" s="2"/>
    </row>
    <row r="2111" spans="4:5">
      <c r="D2111" s="2"/>
      <c r="E2111" s="2"/>
    </row>
    <row r="2112" spans="4:5">
      <c r="D2112" s="2"/>
      <c r="E2112" s="2"/>
    </row>
    <row r="2113" spans="4:5">
      <c r="D2113" s="2"/>
      <c r="E2113" s="2"/>
    </row>
    <row r="2114" spans="4:5">
      <c r="D2114" s="2"/>
      <c r="E2114" s="2"/>
    </row>
    <row r="2115" spans="4:5">
      <c r="D2115" s="2"/>
      <c r="E2115" s="2"/>
    </row>
    <row r="2116" spans="4:5">
      <c r="D2116" s="2"/>
      <c r="E2116" s="2"/>
    </row>
    <row r="2117" spans="4:5">
      <c r="D2117" s="2"/>
      <c r="E2117" s="2"/>
    </row>
    <row r="2118" spans="4:5">
      <c r="D2118" s="2"/>
      <c r="E2118" s="2"/>
    </row>
    <row r="2119" spans="4:5">
      <c r="D2119" s="2"/>
      <c r="E2119" s="2"/>
    </row>
    <row r="2120" spans="4:5">
      <c r="D2120" s="2"/>
      <c r="E2120" s="2"/>
    </row>
    <row r="2121" spans="4:5">
      <c r="D2121" s="2"/>
      <c r="E2121" s="2"/>
    </row>
    <row r="2122" spans="4:5">
      <c r="D2122" s="2"/>
      <c r="E2122" s="2"/>
    </row>
    <row r="2123" spans="4:5">
      <c r="D2123" s="2"/>
      <c r="E2123" s="2"/>
    </row>
    <row r="2124" spans="4:5">
      <c r="D2124" s="2"/>
      <c r="E2124" s="2"/>
    </row>
    <row r="2125" spans="4:5">
      <c r="D2125" s="2"/>
      <c r="E2125" s="2"/>
    </row>
    <row r="2126" spans="4:5">
      <c r="D2126" s="2"/>
      <c r="E2126" s="2"/>
    </row>
    <row r="2127" spans="4:5">
      <c r="D2127" s="2"/>
      <c r="E2127" s="2"/>
    </row>
    <row r="2128" spans="4:5">
      <c r="D2128" s="2"/>
      <c r="E2128" s="2"/>
    </row>
    <row r="2129" spans="4:5">
      <c r="D2129" s="2"/>
      <c r="E2129" s="2"/>
    </row>
    <row r="2130" spans="4:5">
      <c r="D2130" s="2"/>
      <c r="E2130" s="2"/>
    </row>
    <row r="2131" spans="4:5">
      <c r="D2131" s="2"/>
      <c r="E2131" s="2"/>
    </row>
    <row r="2132" spans="4:5">
      <c r="D2132" s="2"/>
      <c r="E2132" s="2"/>
    </row>
    <row r="2133" spans="4:5">
      <c r="D2133" s="2"/>
      <c r="E2133" s="2"/>
    </row>
    <row r="2134" spans="4:5">
      <c r="D2134" s="2"/>
      <c r="E2134" s="2"/>
    </row>
    <row r="2135" spans="4:5">
      <c r="D2135" s="2"/>
      <c r="E2135" s="2"/>
    </row>
    <row r="2136" spans="4:5">
      <c r="D2136" s="2"/>
      <c r="E2136" s="2"/>
    </row>
    <row r="2137" spans="4:5">
      <c r="D2137" s="2"/>
      <c r="E2137" s="2"/>
    </row>
    <row r="2138" spans="4:5">
      <c r="D2138" s="2"/>
      <c r="E2138" s="2"/>
    </row>
    <row r="2139" spans="4:5">
      <c r="D2139" s="2"/>
      <c r="E2139" s="2"/>
    </row>
    <row r="2140" spans="4:5">
      <c r="D2140" s="2"/>
      <c r="E2140" s="2"/>
    </row>
    <row r="2141" spans="4:5">
      <c r="D2141" s="2"/>
      <c r="E2141" s="2"/>
    </row>
    <row r="2142" spans="4:5">
      <c r="D2142" s="2"/>
      <c r="E2142" s="2"/>
    </row>
    <row r="2143" spans="4:5">
      <c r="D2143" s="2"/>
      <c r="E2143" s="2"/>
    </row>
    <row r="2144" spans="4:5">
      <c r="D2144" s="2"/>
      <c r="E2144" s="2"/>
    </row>
    <row r="2145" spans="4:5">
      <c r="D2145" s="2"/>
      <c r="E2145" s="2"/>
    </row>
    <row r="2146" spans="4:5">
      <c r="D2146" s="2"/>
      <c r="E2146" s="2"/>
    </row>
    <row r="2147" spans="4:5">
      <c r="D2147" s="2"/>
      <c r="E2147" s="2"/>
    </row>
    <row r="2148" spans="4:5">
      <c r="D2148" s="2"/>
      <c r="E2148" s="2"/>
    </row>
    <row r="2149" spans="4:5">
      <c r="D2149" s="2"/>
      <c r="E2149" s="2"/>
    </row>
    <row r="2150" spans="4:5">
      <c r="D2150" s="2"/>
      <c r="E2150" s="2"/>
    </row>
    <row r="2151" spans="4:5">
      <c r="D2151" s="2"/>
      <c r="E2151" s="2"/>
    </row>
    <row r="2152" spans="4:5">
      <c r="D2152" s="2"/>
      <c r="E2152" s="2"/>
    </row>
    <row r="2153" spans="4:5">
      <c r="D2153" s="2"/>
      <c r="E2153" s="2"/>
    </row>
    <row r="2154" spans="4:5">
      <c r="D2154" s="2"/>
      <c r="E2154" s="2"/>
    </row>
    <row r="2155" spans="4:5">
      <c r="D2155" s="2"/>
      <c r="E2155" s="2"/>
    </row>
    <row r="2156" spans="4:5">
      <c r="D2156" s="2"/>
      <c r="E2156" s="2"/>
    </row>
    <row r="2157" spans="4:5">
      <c r="D2157" s="2"/>
      <c r="E2157" s="2"/>
    </row>
    <row r="2158" spans="4:5">
      <c r="D2158" s="2"/>
      <c r="E2158" s="2"/>
    </row>
    <row r="2159" spans="4:5">
      <c r="D2159" s="2"/>
      <c r="E2159" s="2"/>
    </row>
    <row r="2160" spans="4:5">
      <c r="D2160" s="2"/>
      <c r="E2160" s="2"/>
    </row>
    <row r="2161" spans="4:5">
      <c r="D2161" s="2"/>
      <c r="E2161" s="2"/>
    </row>
    <row r="2162" spans="4:5">
      <c r="D2162" s="2"/>
      <c r="E2162" s="2"/>
    </row>
    <row r="2163" spans="4:5">
      <c r="D2163" s="2"/>
      <c r="E2163" s="2"/>
    </row>
    <row r="2164" spans="4:5">
      <c r="D2164" s="2"/>
      <c r="E2164" s="2"/>
    </row>
    <row r="2165" spans="4:5">
      <c r="D2165" s="2"/>
      <c r="E2165" s="2"/>
    </row>
    <row r="2166" spans="4:5">
      <c r="D2166" s="2"/>
      <c r="E2166" s="2"/>
    </row>
    <row r="2167" spans="4:5">
      <c r="D2167" s="2"/>
      <c r="E2167" s="2"/>
    </row>
    <row r="2168" spans="4:5">
      <c r="D2168" s="2"/>
      <c r="E2168" s="2"/>
    </row>
    <row r="2169" spans="4:5">
      <c r="D2169" s="2"/>
      <c r="E2169" s="2"/>
    </row>
    <row r="2170" spans="4:5">
      <c r="D2170" s="2"/>
      <c r="E2170" s="2"/>
    </row>
    <row r="2171" spans="4:5">
      <c r="D2171" s="2"/>
      <c r="E2171" s="2"/>
    </row>
    <row r="2172" spans="4:5">
      <c r="D2172" s="2"/>
      <c r="E2172" s="2"/>
    </row>
    <row r="2173" spans="4:5">
      <c r="D2173" s="2"/>
      <c r="E2173" s="2"/>
    </row>
    <row r="2174" spans="4:5">
      <c r="D2174" s="2"/>
      <c r="E2174" s="2"/>
    </row>
    <row r="2175" spans="4:5">
      <c r="D2175" s="2"/>
      <c r="E2175" s="2"/>
    </row>
    <row r="2176" spans="4:5">
      <c r="D2176" s="2"/>
      <c r="E2176" s="2"/>
    </row>
    <row r="2177" spans="4:5">
      <c r="D2177" s="2"/>
      <c r="E2177" s="2"/>
    </row>
    <row r="2178" spans="4:5">
      <c r="D2178" s="2"/>
      <c r="E2178" s="2"/>
    </row>
    <row r="2179" spans="4:5">
      <c r="D2179" s="2"/>
      <c r="E2179" s="2"/>
    </row>
    <row r="2180" spans="4:5">
      <c r="D2180" s="2"/>
      <c r="E2180" s="2"/>
    </row>
    <row r="2181" spans="4:5">
      <c r="D2181" s="2"/>
      <c r="E2181" s="2"/>
    </row>
    <row r="2182" spans="4:5">
      <c r="D2182" s="2"/>
      <c r="E2182" s="2"/>
    </row>
    <row r="2183" spans="4:5">
      <c r="D2183" s="2"/>
      <c r="E2183" s="2"/>
    </row>
    <row r="2184" spans="4:5">
      <c r="D2184" s="2"/>
      <c r="E2184" s="2"/>
    </row>
    <row r="2185" spans="4:5">
      <c r="D2185" s="2"/>
      <c r="E2185" s="2"/>
    </row>
    <row r="2186" spans="4:5">
      <c r="D2186" s="2"/>
      <c r="E2186" s="2"/>
    </row>
    <row r="2187" spans="4:5">
      <c r="D2187" s="2"/>
      <c r="E2187" s="2"/>
    </row>
    <row r="2188" spans="4:5">
      <c r="D2188" s="2"/>
      <c r="E2188" s="2"/>
    </row>
    <row r="2189" spans="4:5">
      <c r="D2189" s="2"/>
      <c r="E2189" s="2"/>
    </row>
    <row r="2190" spans="4:5">
      <c r="D2190" s="2"/>
      <c r="E2190" s="2"/>
    </row>
    <row r="2191" spans="4:5">
      <c r="D2191" s="2"/>
      <c r="E2191" s="2"/>
    </row>
    <row r="2192" spans="4:5">
      <c r="D2192" s="2"/>
      <c r="E2192" s="2"/>
    </row>
    <row r="2193" spans="4:5">
      <c r="D2193" s="2"/>
      <c r="E2193" s="2"/>
    </row>
    <row r="2194" spans="4:5">
      <c r="D2194" s="2"/>
      <c r="E2194" s="2"/>
    </row>
    <row r="2195" spans="4:5">
      <c r="D2195" s="2"/>
      <c r="E2195" s="2"/>
    </row>
    <row r="2196" spans="4:5">
      <c r="D2196" s="2"/>
      <c r="E2196" s="2"/>
    </row>
    <row r="2197" spans="4:5">
      <c r="D2197" s="2"/>
      <c r="E2197" s="2"/>
    </row>
    <row r="2198" spans="4:5">
      <c r="D2198" s="2"/>
      <c r="E2198" s="2"/>
    </row>
    <row r="2199" spans="4:5">
      <c r="D2199" s="2"/>
      <c r="E2199" s="2"/>
    </row>
    <row r="2200" spans="4:5">
      <c r="D2200" s="2"/>
      <c r="E2200" s="2"/>
    </row>
    <row r="2201" spans="4:5">
      <c r="D2201" s="2"/>
      <c r="E2201" s="2"/>
    </row>
    <row r="2202" spans="4:5">
      <c r="D2202" s="2"/>
      <c r="E2202" s="2"/>
    </row>
    <row r="2203" spans="4:5">
      <c r="D2203" s="2"/>
      <c r="E2203" s="2"/>
    </row>
    <row r="2204" spans="4:5">
      <c r="D2204" s="2"/>
      <c r="E2204" s="2"/>
    </row>
    <row r="2205" spans="4:5">
      <c r="D2205" s="2"/>
      <c r="E2205" s="2"/>
    </row>
    <row r="2206" spans="4:5">
      <c r="D2206" s="2"/>
      <c r="E2206" s="2"/>
    </row>
    <row r="2207" spans="4:5">
      <c r="D2207" s="2"/>
      <c r="E2207" s="2"/>
    </row>
    <row r="2208" spans="4:5">
      <c r="D2208" s="2"/>
      <c r="E2208" s="2"/>
    </row>
    <row r="2209" spans="4:5">
      <c r="D2209" s="2"/>
      <c r="E2209" s="2"/>
    </row>
    <row r="2210" spans="4:5">
      <c r="D2210" s="2"/>
      <c r="E2210" s="2"/>
    </row>
    <row r="2211" spans="4:5">
      <c r="D2211" s="2"/>
      <c r="E2211" s="2"/>
    </row>
    <row r="2212" spans="4:5">
      <c r="D2212" s="2"/>
      <c r="E2212" s="2"/>
    </row>
    <row r="2213" spans="4:5">
      <c r="D2213" s="2"/>
      <c r="E2213" s="2"/>
    </row>
    <row r="2214" spans="4:5">
      <c r="D2214" s="2"/>
      <c r="E2214" s="2"/>
    </row>
    <row r="2215" spans="4:5">
      <c r="D2215" s="2"/>
      <c r="E2215" s="2"/>
    </row>
    <row r="2216" spans="4:5">
      <c r="D2216" s="2"/>
      <c r="E2216" s="2"/>
    </row>
    <row r="2217" spans="4:5">
      <c r="D2217" s="2"/>
      <c r="E2217" s="2"/>
    </row>
    <row r="2218" spans="4:5">
      <c r="D2218" s="2"/>
      <c r="E2218" s="2"/>
    </row>
    <row r="2219" spans="4:5">
      <c r="D2219" s="2"/>
      <c r="E2219" s="2"/>
    </row>
    <row r="2220" spans="4:5">
      <c r="D2220" s="2"/>
      <c r="E2220" s="2"/>
    </row>
    <row r="2221" spans="4:5">
      <c r="D2221" s="2"/>
      <c r="E2221" s="2"/>
    </row>
    <row r="2222" spans="4:5">
      <c r="D2222" s="2"/>
      <c r="E2222" s="2"/>
    </row>
    <row r="2223" spans="4:5">
      <c r="D2223" s="2"/>
      <c r="E2223" s="2"/>
    </row>
    <row r="2224" spans="4:5">
      <c r="D2224" s="2"/>
      <c r="E2224" s="2"/>
    </row>
    <row r="2225" spans="4:5">
      <c r="D2225" s="2"/>
      <c r="E2225" s="2"/>
    </row>
    <row r="2226" spans="4:5">
      <c r="D2226" s="2"/>
      <c r="E2226" s="2"/>
    </row>
    <row r="2227" spans="4:5">
      <c r="D2227" s="2"/>
      <c r="E2227" s="2"/>
    </row>
    <row r="2228" spans="4:5">
      <c r="D2228" s="2"/>
      <c r="E2228" s="2"/>
    </row>
    <row r="2229" spans="4:5">
      <c r="D2229" s="2"/>
      <c r="E2229" s="2"/>
    </row>
    <row r="2230" spans="4:5">
      <c r="D2230" s="2"/>
      <c r="E2230" s="2"/>
    </row>
    <row r="2231" spans="4:5">
      <c r="D2231" s="2"/>
      <c r="E2231" s="2"/>
    </row>
    <row r="2232" spans="4:5">
      <c r="D2232" s="2"/>
      <c r="E2232" s="2"/>
    </row>
    <row r="2233" spans="4:5">
      <c r="D2233" s="2"/>
      <c r="E2233" s="2"/>
    </row>
    <row r="2234" spans="4:5">
      <c r="D2234" s="2"/>
      <c r="E2234" s="2"/>
    </row>
    <row r="2235" spans="4:5">
      <c r="D2235" s="2"/>
      <c r="E2235" s="2"/>
    </row>
    <row r="2236" spans="4:5">
      <c r="D2236" s="2"/>
      <c r="E2236" s="2"/>
    </row>
    <row r="2237" spans="4:5">
      <c r="D2237" s="2"/>
      <c r="E2237" s="2"/>
    </row>
    <row r="2238" spans="4:5">
      <c r="D2238" s="2"/>
      <c r="E2238" s="2"/>
    </row>
    <row r="2239" spans="4:5">
      <c r="D2239" s="2"/>
      <c r="E2239" s="2"/>
    </row>
    <row r="2240" spans="4:5">
      <c r="D2240" s="2"/>
      <c r="E2240" s="2"/>
    </row>
    <row r="2241" spans="4:5">
      <c r="D2241" s="2"/>
      <c r="E2241" s="2"/>
    </row>
    <row r="2242" spans="4:5">
      <c r="D2242" s="2"/>
      <c r="E2242" s="2"/>
    </row>
    <row r="2243" spans="4:5">
      <c r="D2243" s="2"/>
      <c r="E2243" s="2"/>
    </row>
    <row r="2244" spans="4:5">
      <c r="D2244" s="2"/>
      <c r="E2244" s="2"/>
    </row>
    <row r="2245" spans="4:5">
      <c r="D2245" s="2"/>
      <c r="E2245" s="2"/>
    </row>
    <row r="2246" spans="4:5">
      <c r="D2246" s="2"/>
      <c r="E2246" s="2"/>
    </row>
    <row r="2247" spans="4:5">
      <c r="D2247" s="2"/>
      <c r="E2247" s="2"/>
    </row>
    <row r="2248" spans="4:5">
      <c r="D2248" s="2"/>
      <c r="E2248" s="2"/>
    </row>
    <row r="2249" spans="4:5">
      <c r="D2249" s="2"/>
      <c r="E2249" s="2"/>
    </row>
    <row r="2250" spans="4:5">
      <c r="D2250" s="2"/>
      <c r="E2250" s="2"/>
    </row>
    <row r="2251" spans="4:5">
      <c r="D2251" s="2"/>
      <c r="E2251" s="2"/>
    </row>
    <row r="2252" spans="4:5">
      <c r="D2252" s="2"/>
      <c r="E2252" s="2"/>
    </row>
    <row r="2253" spans="4:5">
      <c r="D2253" s="2"/>
      <c r="E2253" s="2"/>
    </row>
    <row r="2254" spans="4:5">
      <c r="D2254" s="2"/>
      <c r="E2254" s="2"/>
    </row>
    <row r="2255" spans="4:5">
      <c r="D2255" s="2"/>
      <c r="E2255" s="2"/>
    </row>
    <row r="2256" spans="4:5">
      <c r="D2256" s="2"/>
      <c r="E2256" s="2"/>
    </row>
    <row r="2257" spans="4:5">
      <c r="D2257" s="2"/>
      <c r="E2257" s="2"/>
    </row>
    <row r="2258" spans="4:5">
      <c r="D2258" s="2"/>
      <c r="E2258" s="2"/>
    </row>
    <row r="2259" spans="4:5">
      <c r="D2259" s="2"/>
      <c r="E2259" s="2"/>
    </row>
    <row r="2260" spans="4:5">
      <c r="D2260" s="2"/>
      <c r="E2260" s="2"/>
    </row>
    <row r="2261" spans="4:5">
      <c r="D2261" s="2"/>
      <c r="E2261" s="2"/>
    </row>
    <row r="2262" spans="4:5">
      <c r="D2262" s="2"/>
      <c r="E2262" s="2"/>
    </row>
    <row r="2263" spans="4:5">
      <c r="D2263" s="2"/>
      <c r="E2263" s="2"/>
    </row>
    <row r="2264" spans="4:5">
      <c r="D2264" s="2"/>
      <c r="E2264" s="2"/>
    </row>
    <row r="2265" spans="4:5">
      <c r="D2265" s="2"/>
      <c r="E2265" s="2"/>
    </row>
    <row r="2266" spans="4:5">
      <c r="D2266" s="2"/>
      <c r="E2266" s="2"/>
    </row>
    <row r="2267" spans="4:5">
      <c r="D2267" s="2"/>
      <c r="E2267" s="2"/>
    </row>
    <row r="2268" spans="4:5">
      <c r="D2268" s="2"/>
      <c r="E2268" s="2"/>
    </row>
    <row r="2269" spans="4:5">
      <c r="D2269" s="2"/>
      <c r="E2269" s="2"/>
    </row>
    <row r="2270" spans="4:5">
      <c r="D2270" s="2"/>
      <c r="E2270" s="2"/>
    </row>
    <row r="2271" spans="4:5">
      <c r="D2271" s="2"/>
      <c r="E2271" s="2"/>
    </row>
    <row r="2272" spans="4:5">
      <c r="D2272" s="2"/>
      <c r="E2272" s="2"/>
    </row>
    <row r="2273" spans="4:5">
      <c r="D2273" s="2"/>
      <c r="E2273" s="2"/>
    </row>
    <row r="2274" spans="4:5">
      <c r="D2274" s="2"/>
      <c r="E2274" s="2"/>
    </row>
    <row r="2275" spans="4:5">
      <c r="D2275" s="2"/>
      <c r="E2275" s="2"/>
    </row>
    <row r="2276" spans="4:5">
      <c r="D2276" s="2"/>
      <c r="E2276" s="2"/>
    </row>
    <row r="2277" spans="4:5">
      <c r="D2277" s="2"/>
      <c r="E2277" s="2"/>
    </row>
    <row r="2278" spans="4:5">
      <c r="D2278" s="2"/>
      <c r="E2278" s="2"/>
    </row>
    <row r="2279" spans="4:5">
      <c r="D2279" s="2"/>
      <c r="E2279" s="2"/>
    </row>
    <row r="2280" spans="4:5">
      <c r="D2280" s="2"/>
      <c r="E2280" s="2"/>
    </row>
    <row r="2281" spans="4:5">
      <c r="D2281" s="2"/>
      <c r="E2281" s="2"/>
    </row>
    <row r="2282" spans="4:5">
      <c r="D2282" s="2"/>
      <c r="E2282" s="2"/>
    </row>
    <row r="2283" spans="4:5">
      <c r="D2283" s="2"/>
      <c r="E2283" s="2"/>
    </row>
    <row r="2284" spans="4:5">
      <c r="D2284" s="2"/>
      <c r="E2284" s="2"/>
    </row>
    <row r="2285" spans="4:5">
      <c r="D2285" s="2"/>
      <c r="E2285" s="2"/>
    </row>
    <row r="2286" spans="4:5">
      <c r="D2286" s="2"/>
      <c r="E2286" s="2"/>
    </row>
    <row r="2287" spans="4:5">
      <c r="D2287" s="2"/>
      <c r="E2287" s="2"/>
    </row>
    <row r="2288" spans="4:5">
      <c r="D2288" s="2"/>
      <c r="E2288" s="2"/>
    </row>
    <row r="2289" spans="4:5">
      <c r="D2289" s="2"/>
      <c r="E2289" s="2"/>
    </row>
    <row r="2290" spans="4:5">
      <c r="D2290" s="2"/>
      <c r="E2290" s="2"/>
    </row>
    <row r="2291" spans="4:5">
      <c r="D2291" s="2"/>
      <c r="E2291" s="2"/>
    </row>
    <row r="2292" spans="4:5">
      <c r="D2292" s="2"/>
      <c r="E2292" s="2"/>
    </row>
    <row r="2293" spans="4:5">
      <c r="D2293" s="2"/>
      <c r="E2293" s="2"/>
    </row>
    <row r="2294" spans="4:5">
      <c r="D2294" s="2"/>
      <c r="E2294" s="2"/>
    </row>
    <row r="2295" spans="4:5">
      <c r="D2295" s="2"/>
      <c r="E2295" s="2"/>
    </row>
    <row r="2296" spans="4:5">
      <c r="D2296" s="2"/>
      <c r="E2296" s="2"/>
    </row>
    <row r="2297" spans="4:5">
      <c r="D2297" s="2"/>
      <c r="E2297" s="2"/>
    </row>
    <row r="2298" spans="4:5">
      <c r="D2298" s="2"/>
      <c r="E2298" s="2"/>
    </row>
    <row r="2299" spans="4:5">
      <c r="D2299" s="2"/>
      <c r="E2299" s="2"/>
    </row>
    <row r="2300" spans="4:5">
      <c r="D2300" s="2"/>
      <c r="E2300" s="2"/>
    </row>
    <row r="2301" spans="4:5">
      <c r="D2301" s="2"/>
      <c r="E2301" s="2"/>
    </row>
    <row r="2302" spans="4:5">
      <c r="D2302" s="2"/>
      <c r="E2302" s="2"/>
    </row>
    <row r="2303" spans="4:5">
      <c r="D2303" s="2"/>
      <c r="E2303" s="2"/>
    </row>
    <row r="2304" spans="4:5">
      <c r="D2304" s="2"/>
      <c r="E2304" s="2"/>
    </row>
    <row r="2305" spans="4:5">
      <c r="D2305" s="2"/>
      <c r="E2305" s="2"/>
    </row>
    <row r="2306" spans="4:5">
      <c r="D2306" s="2"/>
      <c r="E2306" s="2"/>
    </row>
    <row r="2307" spans="4:5">
      <c r="D2307" s="2"/>
      <c r="E2307" s="2"/>
    </row>
    <row r="2308" spans="4:5">
      <c r="D2308" s="2"/>
      <c r="E2308" s="2"/>
    </row>
    <row r="2309" spans="4:5">
      <c r="D2309" s="2"/>
      <c r="E2309" s="2"/>
    </row>
    <row r="2310" spans="4:5">
      <c r="D2310" s="2"/>
      <c r="E2310" s="2"/>
    </row>
    <row r="2311" spans="4:5">
      <c r="D2311" s="2"/>
      <c r="E2311" s="2"/>
    </row>
    <row r="2312" spans="4:5">
      <c r="D2312" s="2"/>
      <c r="E2312" s="2"/>
    </row>
    <row r="2313" spans="4:5">
      <c r="D2313" s="2"/>
      <c r="E2313" s="2"/>
    </row>
    <row r="2314" spans="4:5">
      <c r="D2314" s="2"/>
      <c r="E2314" s="2"/>
    </row>
    <row r="2315" spans="4:5">
      <c r="D2315" s="2"/>
      <c r="E2315" s="2"/>
    </row>
    <row r="2316" spans="4:5">
      <c r="D2316" s="2"/>
      <c r="E2316" s="2"/>
    </row>
    <row r="2317" spans="4:5">
      <c r="D2317" s="2"/>
      <c r="E2317" s="2"/>
    </row>
    <row r="2318" spans="4:5">
      <c r="D2318" s="2"/>
      <c r="E2318" s="2"/>
    </row>
    <row r="2319" spans="4:5">
      <c r="D2319" s="2"/>
      <c r="E2319" s="2"/>
    </row>
    <row r="2320" spans="4:5">
      <c r="D2320" s="2"/>
      <c r="E2320" s="2"/>
    </row>
    <row r="2321" spans="4:5">
      <c r="D2321" s="2"/>
      <c r="E2321" s="2"/>
    </row>
    <row r="2322" spans="4:5">
      <c r="D2322" s="2"/>
      <c r="E2322" s="2"/>
    </row>
    <row r="2323" spans="4:5">
      <c r="D2323" s="2"/>
      <c r="E2323" s="2"/>
    </row>
    <row r="2324" spans="4:5">
      <c r="D2324" s="2"/>
      <c r="E2324" s="2"/>
    </row>
    <row r="2325" spans="4:5">
      <c r="D2325" s="2"/>
      <c r="E2325" s="2"/>
    </row>
    <row r="2326" spans="4:5">
      <c r="D2326" s="2"/>
      <c r="E2326" s="2"/>
    </row>
    <row r="2327" spans="4:5">
      <c r="D2327" s="2"/>
      <c r="E2327" s="2"/>
    </row>
    <row r="2328" spans="4:5">
      <c r="D2328" s="2"/>
      <c r="E2328" s="2"/>
    </row>
    <row r="2329" spans="4:5">
      <c r="D2329" s="2"/>
      <c r="E2329" s="2"/>
    </row>
    <row r="2330" spans="4:5">
      <c r="D2330" s="2"/>
      <c r="E2330" s="2"/>
    </row>
    <row r="2331" spans="4:5">
      <c r="D2331" s="2"/>
      <c r="E2331" s="2"/>
    </row>
    <row r="2332" spans="4:5">
      <c r="D2332" s="2"/>
      <c r="E2332" s="2"/>
    </row>
    <row r="2333" spans="4:5">
      <c r="D2333" s="2"/>
      <c r="E2333" s="2"/>
    </row>
    <row r="2334" spans="4:5">
      <c r="D2334" s="2"/>
      <c r="E2334" s="2"/>
    </row>
    <row r="2335" spans="4:5">
      <c r="D2335" s="2"/>
      <c r="E2335" s="2"/>
    </row>
    <row r="2336" spans="4:5">
      <c r="D2336" s="2"/>
      <c r="E2336" s="2"/>
    </row>
    <row r="2337" spans="4:5">
      <c r="D2337" s="2"/>
      <c r="E2337" s="2"/>
    </row>
    <row r="2338" spans="4:5">
      <c r="D2338" s="2"/>
      <c r="E2338" s="2"/>
    </row>
    <row r="2339" spans="4:5">
      <c r="D2339" s="2"/>
      <c r="E2339" s="2"/>
    </row>
    <row r="2340" spans="4:5">
      <c r="D2340" s="2"/>
      <c r="E2340" s="2"/>
    </row>
    <row r="2341" spans="4:5">
      <c r="D2341" s="2"/>
      <c r="E2341" s="2"/>
    </row>
    <row r="2342" spans="4:5">
      <c r="D2342" s="2"/>
      <c r="E2342" s="2"/>
    </row>
    <row r="2343" spans="4:5">
      <c r="D2343" s="2"/>
      <c r="E2343" s="2"/>
    </row>
    <row r="2344" spans="4:5">
      <c r="D2344" s="2"/>
      <c r="E2344" s="2"/>
    </row>
    <row r="2345" spans="4:5">
      <c r="D2345" s="2"/>
      <c r="E2345" s="2"/>
    </row>
    <row r="2346" spans="4:5">
      <c r="D2346" s="2"/>
      <c r="E2346" s="2"/>
    </row>
    <row r="2347" spans="4:5">
      <c r="D2347" s="2"/>
      <c r="E2347" s="2"/>
    </row>
    <row r="2348" spans="4:5">
      <c r="D2348" s="2"/>
      <c r="E2348" s="2"/>
    </row>
    <row r="2349" spans="4:5">
      <c r="D2349" s="2"/>
      <c r="E2349" s="2"/>
    </row>
    <row r="2350" spans="4:5">
      <c r="D2350" s="2"/>
      <c r="E2350" s="2"/>
    </row>
    <row r="2351" spans="4:5">
      <c r="D2351" s="2"/>
      <c r="E2351" s="2"/>
    </row>
    <row r="2352" spans="4:5">
      <c r="D2352" s="2"/>
      <c r="E2352" s="2"/>
    </row>
    <row r="2353" spans="4:5">
      <c r="D2353" s="2"/>
      <c r="E2353" s="2"/>
    </row>
    <row r="2354" spans="4:5">
      <c r="D2354" s="2"/>
      <c r="E2354" s="2"/>
    </row>
    <row r="2355" spans="4:5">
      <c r="D2355" s="2"/>
      <c r="E2355" s="2"/>
    </row>
    <row r="2356" spans="4:5">
      <c r="D2356" s="2"/>
      <c r="E2356" s="2"/>
    </row>
    <row r="2357" spans="4:5">
      <c r="D2357" s="2"/>
      <c r="E2357" s="2"/>
    </row>
    <row r="2358" spans="4:5">
      <c r="D2358" s="2"/>
      <c r="E2358" s="2"/>
    </row>
    <row r="2359" spans="4:5">
      <c r="D2359" s="2"/>
      <c r="E2359" s="2"/>
    </row>
    <row r="2360" spans="4:5">
      <c r="D2360" s="2"/>
      <c r="E2360" s="2"/>
    </row>
    <row r="2361" spans="4:5">
      <c r="D2361" s="2"/>
      <c r="E2361" s="2"/>
    </row>
    <row r="2362" spans="4:5">
      <c r="D2362" s="2"/>
      <c r="E2362" s="2"/>
    </row>
    <row r="2363" spans="4:5">
      <c r="D2363" s="2"/>
      <c r="E2363" s="2"/>
    </row>
    <row r="2364" spans="4:5">
      <c r="D2364" s="2"/>
      <c r="E2364" s="2"/>
    </row>
    <row r="2365" spans="4:5">
      <c r="D2365" s="2"/>
      <c r="E2365" s="2"/>
    </row>
    <row r="2366" spans="4:5">
      <c r="D2366" s="2"/>
      <c r="E2366" s="2"/>
    </row>
    <row r="2367" spans="4:5">
      <c r="D2367" s="2"/>
      <c r="E2367" s="2"/>
    </row>
    <row r="2368" spans="4:5">
      <c r="D2368" s="2"/>
      <c r="E2368" s="2"/>
    </row>
    <row r="2369" spans="4:5">
      <c r="D2369" s="2"/>
      <c r="E2369" s="2"/>
    </row>
    <row r="2370" spans="4:5">
      <c r="D2370" s="2"/>
      <c r="E2370" s="2"/>
    </row>
    <row r="2371" spans="4:5">
      <c r="D2371" s="2"/>
      <c r="E2371" s="2"/>
    </row>
    <row r="2372" spans="4:5">
      <c r="D2372" s="2"/>
      <c r="E2372" s="2"/>
    </row>
    <row r="2373" spans="4:5">
      <c r="D2373" s="2"/>
      <c r="E2373" s="2"/>
    </row>
    <row r="2374" spans="4:5">
      <c r="D2374" s="2"/>
      <c r="E2374" s="2"/>
    </row>
    <row r="2375" spans="4:5">
      <c r="D2375" s="2"/>
      <c r="E2375" s="2"/>
    </row>
    <row r="2376" spans="4:5">
      <c r="D2376" s="2"/>
      <c r="E2376" s="2"/>
    </row>
    <row r="2377" spans="4:5">
      <c r="D2377" s="2"/>
      <c r="E2377" s="2"/>
    </row>
    <row r="2378" spans="4:5">
      <c r="D2378" s="2"/>
      <c r="E2378" s="2"/>
    </row>
    <row r="2379" spans="4:5">
      <c r="D2379" s="2"/>
      <c r="E2379" s="2"/>
    </row>
    <row r="2380" spans="4:5">
      <c r="D2380" s="2"/>
      <c r="E2380" s="2"/>
    </row>
    <row r="2381" spans="4:5">
      <c r="D2381" s="2"/>
      <c r="E2381" s="2"/>
    </row>
    <row r="2382" spans="4:5">
      <c r="D2382" s="2"/>
      <c r="E2382" s="2"/>
    </row>
    <row r="2383" spans="4:5">
      <c r="D2383" s="2"/>
      <c r="E2383" s="2"/>
    </row>
    <row r="2384" spans="4:5">
      <c r="D2384" s="2"/>
      <c r="E2384" s="2"/>
    </row>
    <row r="2385" spans="4:5">
      <c r="D2385" s="2"/>
      <c r="E2385" s="2"/>
    </row>
    <row r="2386" spans="4:5">
      <c r="D2386" s="2"/>
      <c r="E2386" s="2"/>
    </row>
    <row r="2387" spans="4:5">
      <c r="D2387" s="2"/>
      <c r="E2387" s="2"/>
    </row>
    <row r="2388" spans="4:5">
      <c r="D2388" s="2"/>
      <c r="E2388" s="2"/>
    </row>
    <row r="2389" spans="4:5">
      <c r="D2389" s="2"/>
      <c r="E2389" s="2"/>
    </row>
    <row r="2390" spans="4:5">
      <c r="D2390" s="2"/>
      <c r="E2390" s="2"/>
    </row>
    <row r="2391" spans="4:5">
      <c r="D2391" s="2"/>
      <c r="E2391" s="2"/>
    </row>
    <row r="2392" spans="4:5">
      <c r="D2392" s="2"/>
      <c r="E2392" s="2"/>
    </row>
    <row r="2393" spans="4:5">
      <c r="D2393" s="2"/>
      <c r="E2393" s="2"/>
    </row>
    <row r="2394" spans="4:5">
      <c r="D2394" s="2"/>
      <c r="E2394" s="2"/>
    </row>
    <row r="2395" spans="4:5">
      <c r="D2395" s="2"/>
      <c r="E2395" s="2"/>
    </row>
    <row r="2396" spans="4:5">
      <c r="D2396" s="2"/>
      <c r="E2396" s="2"/>
    </row>
    <row r="2397" spans="4:5">
      <c r="D2397" s="2"/>
      <c r="E2397" s="2"/>
    </row>
    <row r="2398" spans="4:5">
      <c r="D2398" s="2"/>
      <c r="E2398" s="2"/>
    </row>
    <row r="2399" spans="4:5">
      <c r="D2399" s="2"/>
      <c r="E2399" s="2"/>
    </row>
    <row r="2400" spans="4:5">
      <c r="D2400" s="2"/>
      <c r="E2400" s="2"/>
    </row>
    <row r="2401" spans="4:5">
      <c r="D2401" s="2"/>
      <c r="E2401" s="2"/>
    </row>
    <row r="2402" spans="4:5">
      <c r="D2402" s="2"/>
      <c r="E2402" s="2"/>
    </row>
    <row r="2403" spans="4:5">
      <c r="D2403" s="2"/>
      <c r="E2403" s="2"/>
    </row>
    <row r="2404" spans="4:5">
      <c r="D2404" s="2"/>
      <c r="E2404" s="2"/>
    </row>
    <row r="2405" spans="4:5">
      <c r="D2405" s="2"/>
      <c r="E2405" s="2"/>
    </row>
    <row r="2406" spans="4:5">
      <c r="D2406" s="2"/>
      <c r="E2406" s="2"/>
    </row>
    <row r="2407" spans="4:5">
      <c r="D2407" s="2"/>
      <c r="E2407" s="2"/>
    </row>
    <row r="2408" spans="4:5">
      <c r="D2408" s="2"/>
      <c r="E2408" s="2"/>
    </row>
    <row r="2409" spans="4:5">
      <c r="D2409" s="2"/>
      <c r="E2409" s="2"/>
    </row>
    <row r="2410" spans="4:5">
      <c r="D2410" s="2"/>
      <c r="E2410" s="2"/>
    </row>
    <row r="2411" spans="4:5">
      <c r="D2411" s="2"/>
      <c r="E2411" s="2"/>
    </row>
    <row r="2412" spans="4:5">
      <c r="D2412" s="2"/>
      <c r="E2412" s="2"/>
    </row>
    <row r="2413" spans="4:5">
      <c r="D2413" s="2"/>
      <c r="E2413" s="2"/>
    </row>
    <row r="2414" spans="4:5">
      <c r="D2414" s="2"/>
      <c r="E2414" s="2"/>
    </row>
    <row r="2415" spans="4:5">
      <c r="D2415" s="2"/>
      <c r="E2415" s="2"/>
    </row>
    <row r="2416" spans="4:5">
      <c r="D2416" s="2"/>
      <c r="E2416" s="2"/>
    </row>
    <row r="2417" spans="4:5">
      <c r="D2417" s="2"/>
      <c r="E2417" s="2"/>
    </row>
    <row r="2418" spans="4:5">
      <c r="D2418" s="2"/>
      <c r="E2418" s="2"/>
    </row>
    <row r="2419" spans="4:5">
      <c r="D2419" s="2"/>
      <c r="E2419" s="2"/>
    </row>
    <row r="2420" spans="4:5">
      <c r="D2420" s="2"/>
      <c r="E2420" s="2"/>
    </row>
    <row r="2421" spans="4:5">
      <c r="D2421" s="2"/>
      <c r="E2421" s="2"/>
    </row>
    <row r="2422" spans="4:5">
      <c r="D2422" s="2"/>
      <c r="E2422" s="2"/>
    </row>
    <row r="2423" spans="4:5">
      <c r="D2423" s="2"/>
      <c r="E2423" s="2"/>
    </row>
    <row r="2424" spans="4:5">
      <c r="D2424" s="2"/>
      <c r="E2424" s="2"/>
    </row>
    <row r="2425" spans="4:5">
      <c r="D2425" s="2"/>
      <c r="E2425" s="2"/>
    </row>
    <row r="2426" spans="4:5">
      <c r="D2426" s="2"/>
      <c r="E2426" s="2"/>
    </row>
    <row r="2427" spans="4:5">
      <c r="D2427" s="2"/>
      <c r="E2427" s="2"/>
    </row>
    <row r="2428" spans="4:5">
      <c r="D2428" s="2"/>
      <c r="E2428" s="2"/>
    </row>
    <row r="2429" spans="4:5">
      <c r="D2429" s="2"/>
      <c r="E2429" s="2"/>
    </row>
    <row r="2430" spans="4:5">
      <c r="D2430" s="2"/>
      <c r="E2430" s="2"/>
    </row>
    <row r="2431" spans="4:5">
      <c r="D2431" s="2"/>
      <c r="E2431" s="2"/>
    </row>
    <row r="2432" spans="4:5">
      <c r="D2432" s="2"/>
      <c r="E2432" s="2"/>
    </row>
    <row r="2433" spans="4:5">
      <c r="D2433" s="2"/>
      <c r="E2433" s="2"/>
    </row>
    <row r="2434" spans="4:5">
      <c r="D2434" s="2"/>
      <c r="E2434" s="2"/>
    </row>
    <row r="2435" spans="4:5">
      <c r="D2435" s="2"/>
      <c r="E2435" s="2"/>
    </row>
    <row r="2436" spans="4:5">
      <c r="D2436" s="2"/>
      <c r="E2436" s="2"/>
    </row>
    <row r="2437" spans="4:5">
      <c r="D2437" s="2"/>
      <c r="E2437" s="2"/>
    </row>
    <row r="2438" spans="4:5">
      <c r="D2438" s="2"/>
      <c r="E2438" s="2"/>
    </row>
    <row r="2439" spans="4:5">
      <c r="D2439" s="2"/>
      <c r="E2439" s="2"/>
    </row>
    <row r="2440" spans="4:5">
      <c r="D2440" s="2"/>
      <c r="E2440" s="2"/>
    </row>
    <row r="2441" spans="4:5">
      <c r="D2441" s="2"/>
      <c r="E2441" s="2"/>
    </row>
    <row r="2442" spans="4:5">
      <c r="D2442" s="2"/>
      <c r="E2442" s="2"/>
    </row>
    <row r="2443" spans="4:5">
      <c r="D2443" s="2"/>
      <c r="E2443" s="2"/>
    </row>
    <row r="2444" spans="4:5">
      <c r="D2444" s="2"/>
      <c r="E2444" s="2"/>
    </row>
    <row r="2445" spans="4:5">
      <c r="D2445" s="2"/>
      <c r="E2445" s="2"/>
    </row>
    <row r="2446" spans="4:5">
      <c r="D2446" s="2"/>
      <c r="E2446" s="2"/>
    </row>
    <row r="2447" spans="4:5">
      <c r="D2447" s="2"/>
      <c r="E2447" s="2"/>
    </row>
    <row r="2448" spans="4:5">
      <c r="D2448" s="2"/>
      <c r="E2448" s="2"/>
    </row>
    <row r="2449" spans="4:5">
      <c r="D2449" s="2"/>
      <c r="E2449" s="2"/>
    </row>
    <row r="2450" spans="4:5">
      <c r="D2450" s="2"/>
      <c r="E2450" s="2"/>
    </row>
    <row r="2451" spans="4:5">
      <c r="D2451" s="2"/>
      <c r="E2451" s="2"/>
    </row>
    <row r="2452" spans="4:5">
      <c r="D2452" s="2"/>
      <c r="E2452" s="2"/>
    </row>
    <row r="2453" spans="4:5">
      <c r="D2453" s="2"/>
      <c r="E2453" s="2"/>
    </row>
    <row r="2454" spans="4:5">
      <c r="D2454" s="2"/>
      <c r="E2454" s="2"/>
    </row>
    <row r="2455" spans="4:5">
      <c r="D2455" s="2"/>
      <c r="E2455" s="2"/>
    </row>
    <row r="2456" spans="4:5">
      <c r="D2456" s="2"/>
      <c r="E2456" s="2"/>
    </row>
    <row r="2457" spans="4:5">
      <c r="D2457" s="2"/>
      <c r="E2457" s="2"/>
    </row>
    <row r="2458" spans="4:5">
      <c r="D2458" s="2"/>
      <c r="E2458" s="2"/>
    </row>
    <row r="2459" spans="4:5">
      <c r="D2459" s="2"/>
      <c r="E2459" s="2"/>
    </row>
    <row r="2460" spans="4:5">
      <c r="D2460" s="2"/>
      <c r="E2460" s="2"/>
    </row>
    <row r="2461" spans="4:5">
      <c r="D2461" s="2"/>
      <c r="E2461" s="2"/>
    </row>
    <row r="2462" spans="4:5">
      <c r="D2462" s="2"/>
      <c r="E2462" s="2"/>
    </row>
    <row r="2463" spans="4:5">
      <c r="D2463" s="2"/>
      <c r="E2463" s="2"/>
    </row>
    <row r="2464" spans="4:5">
      <c r="D2464" s="2"/>
      <c r="E2464" s="2"/>
    </row>
    <row r="2465" spans="4:5">
      <c r="D2465" s="2"/>
      <c r="E2465" s="2"/>
    </row>
    <row r="2466" spans="4:5">
      <c r="D2466" s="2"/>
      <c r="E2466" s="2"/>
    </row>
    <row r="2467" spans="4:5">
      <c r="D2467" s="2"/>
      <c r="E2467" s="2"/>
    </row>
    <row r="2468" spans="4:5">
      <c r="D2468" s="2"/>
      <c r="E2468" s="2"/>
    </row>
    <row r="2469" spans="4:5">
      <c r="D2469" s="2"/>
      <c r="E2469" s="2"/>
    </row>
    <row r="2470" spans="4:5">
      <c r="D2470" s="2"/>
      <c r="E2470" s="2"/>
    </row>
    <row r="2471" spans="4:5">
      <c r="D2471" s="2"/>
      <c r="E2471" s="2"/>
    </row>
    <row r="2472" spans="4:5">
      <c r="D2472" s="2"/>
      <c r="E2472" s="2"/>
    </row>
    <row r="2473" spans="4:5">
      <c r="D2473" s="2"/>
      <c r="E2473" s="2"/>
    </row>
    <row r="2474" spans="4:5">
      <c r="D2474" s="2"/>
      <c r="E2474" s="2"/>
    </row>
    <row r="2475" spans="4:5">
      <c r="D2475" s="2"/>
      <c r="E2475" s="2"/>
    </row>
    <row r="2476" spans="4:5">
      <c r="D2476" s="2"/>
      <c r="E2476" s="2"/>
    </row>
    <row r="2477" spans="4:5">
      <c r="D2477" s="2"/>
      <c r="E2477" s="2"/>
    </row>
    <row r="2478" spans="4:5">
      <c r="D2478" s="2"/>
      <c r="E2478" s="2"/>
    </row>
    <row r="2479" spans="4:5">
      <c r="D2479" s="2"/>
      <c r="E2479" s="2"/>
    </row>
    <row r="2480" spans="4:5">
      <c r="D2480" s="2"/>
      <c r="E2480" s="2"/>
    </row>
    <row r="2481" spans="4:5">
      <c r="D2481" s="2"/>
      <c r="E2481" s="2"/>
    </row>
    <row r="2482" spans="4:5">
      <c r="D2482" s="2"/>
      <c r="E2482" s="2"/>
    </row>
    <row r="2483" spans="4:5">
      <c r="D2483" s="2"/>
      <c r="E2483" s="2"/>
    </row>
    <row r="2484" spans="4:5">
      <c r="D2484" s="2"/>
      <c r="E2484" s="2"/>
    </row>
    <row r="2485" spans="4:5">
      <c r="D2485" s="2"/>
      <c r="E2485" s="2"/>
    </row>
    <row r="2486" spans="4:5">
      <c r="D2486" s="2"/>
      <c r="E2486" s="2"/>
    </row>
    <row r="2487" spans="4:5">
      <c r="D2487" s="2"/>
      <c r="E2487" s="2"/>
    </row>
    <row r="2488" spans="4:5">
      <c r="D2488" s="2"/>
      <c r="E2488" s="2"/>
    </row>
    <row r="2489" spans="4:5">
      <c r="D2489" s="2"/>
      <c r="E2489" s="2"/>
    </row>
    <row r="2490" spans="4:5">
      <c r="D2490" s="2"/>
      <c r="E2490" s="2"/>
    </row>
    <row r="2491" spans="4:5">
      <c r="D2491" s="2"/>
      <c r="E2491" s="2"/>
    </row>
    <row r="2492" spans="4:5">
      <c r="D2492" s="2"/>
      <c r="E2492" s="2"/>
    </row>
    <row r="2493" spans="4:5">
      <c r="D2493" s="2"/>
      <c r="E2493" s="2"/>
    </row>
    <row r="2494" spans="4:5">
      <c r="D2494" s="2"/>
      <c r="E2494" s="2"/>
    </row>
    <row r="2495" spans="4:5">
      <c r="D2495" s="2"/>
      <c r="E2495" s="2"/>
    </row>
    <row r="2496" spans="4:5">
      <c r="D2496" s="2"/>
      <c r="E2496" s="2"/>
    </row>
    <row r="2497" spans="4:5">
      <c r="D2497" s="2"/>
      <c r="E2497" s="2"/>
    </row>
    <row r="2498" spans="4:5">
      <c r="D2498" s="2"/>
      <c r="E2498" s="2"/>
    </row>
    <row r="2499" spans="4:5">
      <c r="D2499" s="2"/>
      <c r="E2499" s="2"/>
    </row>
    <row r="2500" spans="4:5">
      <c r="D2500" s="2"/>
      <c r="E2500" s="2"/>
    </row>
    <row r="2501" spans="4:5">
      <c r="D2501" s="2"/>
      <c r="E2501" s="2"/>
    </row>
    <row r="2502" spans="4:5">
      <c r="D2502" s="2"/>
      <c r="E2502" s="2"/>
    </row>
    <row r="2503" spans="4:5">
      <c r="D2503" s="2"/>
      <c r="E2503" s="2"/>
    </row>
    <row r="2504" spans="4:5">
      <c r="D2504" s="2"/>
      <c r="E2504" s="2"/>
    </row>
    <row r="2505" spans="4:5">
      <c r="D2505" s="2"/>
      <c r="E2505" s="2"/>
    </row>
    <row r="2506" spans="4:5">
      <c r="D2506" s="2"/>
      <c r="E2506" s="2"/>
    </row>
    <row r="2507" spans="4:5">
      <c r="D2507" s="2"/>
      <c r="E2507" s="2"/>
    </row>
    <row r="2508" spans="4:5">
      <c r="D2508" s="2"/>
      <c r="E2508" s="2"/>
    </row>
    <row r="2509" spans="4:5">
      <c r="D2509" s="2"/>
      <c r="E2509" s="2"/>
    </row>
    <row r="2510" spans="4:5">
      <c r="D2510" s="2"/>
      <c r="E2510" s="2"/>
    </row>
    <row r="2511" spans="4:5">
      <c r="D2511" s="2"/>
      <c r="E2511" s="2"/>
    </row>
    <row r="2512" spans="4:5">
      <c r="D2512" s="2"/>
      <c r="E2512" s="2"/>
    </row>
    <row r="2513" spans="4:5">
      <c r="D2513" s="2"/>
      <c r="E2513" s="2"/>
    </row>
    <row r="2514" spans="4:5">
      <c r="D2514" s="2"/>
      <c r="E2514" s="2"/>
    </row>
    <row r="2515" spans="4:5">
      <c r="D2515" s="2"/>
      <c r="E2515" s="2"/>
    </row>
    <row r="2516" spans="4:5">
      <c r="D2516" s="2"/>
      <c r="E2516" s="2"/>
    </row>
    <row r="2517" spans="4:5">
      <c r="D2517" s="2"/>
      <c r="E2517" s="2"/>
    </row>
    <row r="2518" spans="4:5">
      <c r="D2518" s="2"/>
      <c r="E2518" s="2"/>
    </row>
    <row r="2519" spans="4:5">
      <c r="D2519" s="2"/>
      <c r="E2519" s="2"/>
    </row>
    <row r="2520" spans="4:5">
      <c r="D2520" s="2"/>
      <c r="E2520" s="2"/>
    </row>
    <row r="2521" spans="4:5">
      <c r="D2521" s="2"/>
      <c r="E2521" s="2"/>
    </row>
    <row r="2522" spans="4:5">
      <c r="D2522" s="2"/>
      <c r="E2522" s="2"/>
    </row>
    <row r="2523" spans="4:5">
      <c r="D2523" s="2"/>
      <c r="E2523" s="2"/>
    </row>
    <row r="2524" spans="4:5">
      <c r="D2524" s="2"/>
      <c r="E2524" s="2"/>
    </row>
    <row r="2525" spans="4:5">
      <c r="D2525" s="2"/>
      <c r="E2525" s="2"/>
    </row>
    <row r="2526" spans="4:5">
      <c r="D2526" s="2"/>
      <c r="E2526" s="2"/>
    </row>
    <row r="2527" spans="4:5">
      <c r="D2527" s="2"/>
      <c r="E2527" s="2"/>
    </row>
    <row r="2528" spans="4:5">
      <c r="D2528" s="2"/>
      <c r="E2528" s="2"/>
    </row>
    <row r="2529" spans="4:5">
      <c r="D2529" s="2"/>
      <c r="E2529" s="2"/>
    </row>
    <row r="2530" spans="4:5">
      <c r="D2530" s="2"/>
      <c r="E2530" s="2"/>
    </row>
    <row r="2531" spans="4:5">
      <c r="D2531" s="2"/>
      <c r="E2531" s="2"/>
    </row>
    <row r="2532" spans="4:5">
      <c r="D2532" s="2"/>
      <c r="E2532" s="2"/>
    </row>
    <row r="2533" spans="4:5">
      <c r="D2533" s="2"/>
      <c r="E2533" s="2"/>
    </row>
    <row r="2534" spans="4:5">
      <c r="D2534" s="2"/>
      <c r="E2534" s="2"/>
    </row>
    <row r="2535" spans="4:5">
      <c r="D2535" s="2"/>
      <c r="E2535" s="2"/>
    </row>
    <row r="2536" spans="4:5">
      <c r="D2536" s="2"/>
      <c r="E2536" s="2"/>
    </row>
    <row r="2537" spans="4:5">
      <c r="D2537" s="2"/>
      <c r="E2537" s="2"/>
    </row>
    <row r="2538" spans="4:5">
      <c r="D2538" s="2"/>
      <c r="E2538" s="2"/>
    </row>
    <row r="2539" spans="4:5">
      <c r="D2539" s="2"/>
      <c r="E2539" s="2"/>
    </row>
    <row r="2540" spans="4:5">
      <c r="D2540" s="2"/>
      <c r="E2540" s="2"/>
    </row>
    <row r="2541" spans="4:5">
      <c r="D2541" s="2"/>
      <c r="E2541" s="2"/>
    </row>
    <row r="2542" spans="4:5">
      <c r="D2542" s="2"/>
      <c r="E2542" s="2"/>
    </row>
    <row r="2543" spans="4:5">
      <c r="D2543" s="2"/>
      <c r="E2543" s="2"/>
    </row>
    <row r="2544" spans="4:5">
      <c r="D2544" s="2"/>
      <c r="E2544" s="2"/>
    </row>
    <row r="2545" spans="4:5">
      <c r="D2545" s="2"/>
      <c r="E2545" s="2"/>
    </row>
    <row r="2546" spans="4:5">
      <c r="D2546" s="2"/>
      <c r="E2546" s="2"/>
    </row>
    <row r="2547" spans="4:5">
      <c r="D2547" s="2"/>
      <c r="E2547" s="2"/>
    </row>
    <row r="2548" spans="4:5">
      <c r="D2548" s="2"/>
      <c r="E2548" s="2"/>
    </row>
    <row r="2549" spans="4:5">
      <c r="D2549" s="2"/>
      <c r="E2549" s="2"/>
    </row>
    <row r="2550" spans="4:5">
      <c r="D2550" s="2"/>
      <c r="E2550" s="2"/>
    </row>
    <row r="2551" spans="4:5">
      <c r="D2551" s="2"/>
      <c r="E2551" s="2"/>
    </row>
    <row r="2552" spans="4:5">
      <c r="D2552" s="2"/>
      <c r="E2552" s="2"/>
    </row>
    <row r="2553" spans="4:5">
      <c r="D2553" s="2"/>
      <c r="E2553" s="2"/>
    </row>
    <row r="2554" spans="4:5">
      <c r="D2554" s="2"/>
      <c r="E2554" s="2"/>
    </row>
    <row r="2555" spans="4:5">
      <c r="D2555" s="2"/>
      <c r="E2555" s="2"/>
    </row>
    <row r="2556" spans="4:5">
      <c r="D2556" s="2"/>
      <c r="E2556" s="2"/>
    </row>
    <row r="2557" spans="4:5">
      <c r="D2557" s="2"/>
      <c r="E2557" s="2"/>
    </row>
    <row r="2558" spans="4:5">
      <c r="D2558" s="2"/>
      <c r="E2558" s="2"/>
    </row>
    <row r="2559" spans="4:5">
      <c r="D2559" s="2"/>
      <c r="E2559" s="2"/>
    </row>
    <row r="2560" spans="4:5">
      <c r="D2560" s="2"/>
      <c r="E2560" s="2"/>
    </row>
    <row r="2561" spans="4:5">
      <c r="D2561" s="2"/>
      <c r="E2561" s="2"/>
    </row>
    <row r="2562" spans="4:5">
      <c r="D2562" s="2"/>
      <c r="E2562" s="2"/>
    </row>
    <row r="2563" spans="4:5">
      <c r="D2563" s="2"/>
      <c r="E2563" s="2"/>
    </row>
    <row r="2564" spans="4:5">
      <c r="D2564" s="2"/>
      <c r="E2564" s="2"/>
    </row>
    <row r="2565" spans="4:5">
      <c r="D2565" s="2"/>
      <c r="E2565" s="2"/>
    </row>
    <row r="2566" spans="4:5">
      <c r="D2566" s="2"/>
      <c r="E2566" s="2"/>
    </row>
    <row r="2567" spans="4:5">
      <c r="D2567" s="2"/>
      <c r="E2567" s="2"/>
    </row>
    <row r="2568" spans="4:5">
      <c r="D2568" s="2"/>
      <c r="E2568" s="2"/>
    </row>
    <row r="2569" spans="4:5">
      <c r="D2569" s="2"/>
      <c r="E2569" s="2"/>
    </row>
    <row r="2570" spans="4:5">
      <c r="D2570" s="2"/>
      <c r="E2570" s="2"/>
    </row>
    <row r="2571" spans="4:5">
      <c r="D2571" s="2"/>
      <c r="E2571" s="2"/>
    </row>
    <row r="2572" spans="4:5">
      <c r="D2572" s="2"/>
      <c r="E2572" s="2"/>
    </row>
    <row r="2573" spans="4:5">
      <c r="D2573" s="2"/>
      <c r="E2573" s="2"/>
    </row>
    <row r="2574" spans="4:5">
      <c r="D2574" s="2"/>
      <c r="E2574" s="2"/>
    </row>
    <row r="2575" spans="4:5">
      <c r="D2575" s="2"/>
      <c r="E2575" s="2"/>
    </row>
    <row r="2576" spans="4:5">
      <c r="D2576" s="2"/>
      <c r="E2576" s="2"/>
    </row>
    <row r="2577" spans="4:5">
      <c r="D2577" s="2"/>
      <c r="E2577" s="2"/>
    </row>
    <row r="2578" spans="4:5">
      <c r="D2578" s="2"/>
      <c r="E2578" s="2"/>
    </row>
    <row r="2579" spans="4:5">
      <c r="D2579" s="2"/>
      <c r="E2579" s="2"/>
    </row>
    <row r="2580" spans="4:5">
      <c r="D2580" s="2"/>
      <c r="E2580" s="2"/>
    </row>
    <row r="2581" spans="4:5">
      <c r="D2581" s="2"/>
      <c r="E2581" s="2"/>
    </row>
    <row r="2582" spans="4:5">
      <c r="D2582" s="2"/>
      <c r="E2582" s="2"/>
    </row>
    <row r="2583" spans="4:5">
      <c r="D2583" s="2"/>
      <c r="E2583" s="2"/>
    </row>
    <row r="2584" spans="4:5">
      <c r="D2584" s="2"/>
      <c r="E2584" s="2"/>
    </row>
    <row r="2585" spans="4:5">
      <c r="D2585" s="2"/>
      <c r="E2585" s="2"/>
    </row>
    <row r="2586" spans="4:5">
      <c r="D2586" s="2"/>
      <c r="E2586" s="2"/>
    </row>
    <row r="2587" spans="4:5">
      <c r="D2587" s="2"/>
      <c r="E2587" s="2"/>
    </row>
    <row r="2588" spans="4:5">
      <c r="D2588" s="2"/>
      <c r="E2588" s="2"/>
    </row>
    <row r="2589" spans="4:5">
      <c r="D2589" s="2"/>
      <c r="E2589" s="2"/>
    </row>
    <row r="2590" spans="4:5">
      <c r="D2590" s="2"/>
      <c r="E2590" s="2"/>
    </row>
    <row r="2591" spans="4:5">
      <c r="D2591" s="2"/>
      <c r="E2591" s="2"/>
    </row>
    <row r="2592" spans="4:5">
      <c r="D2592" s="2"/>
      <c r="E2592" s="2"/>
    </row>
    <row r="2593" spans="4:5">
      <c r="D2593" s="2"/>
      <c r="E2593" s="2"/>
    </row>
    <row r="2594" spans="4:5">
      <c r="D2594" s="2"/>
      <c r="E2594" s="2"/>
    </row>
    <row r="2595" spans="4:5">
      <c r="D2595" s="2"/>
      <c r="E2595" s="2"/>
    </row>
    <row r="2596" spans="4:5">
      <c r="D2596" s="2"/>
      <c r="E2596" s="2"/>
    </row>
    <row r="2597" spans="4:5">
      <c r="D2597" s="2"/>
      <c r="E2597" s="2"/>
    </row>
    <row r="2598" spans="4:5">
      <c r="D2598" s="2"/>
      <c r="E2598" s="2"/>
    </row>
    <row r="2599" spans="4:5">
      <c r="D2599" s="2"/>
      <c r="E2599" s="2"/>
    </row>
    <row r="2600" spans="4:5">
      <c r="D2600" s="2"/>
      <c r="E2600" s="2"/>
    </row>
    <row r="2601" spans="4:5">
      <c r="D2601" s="2"/>
      <c r="E2601" s="2"/>
    </row>
    <row r="2602" spans="4:5">
      <c r="D2602" s="2"/>
      <c r="E2602" s="2"/>
    </row>
    <row r="2603" spans="4:5">
      <c r="D2603" s="2"/>
      <c r="E2603" s="2"/>
    </row>
    <row r="2604" spans="4:5">
      <c r="D2604" s="2"/>
      <c r="E2604" s="2"/>
    </row>
    <row r="2605" spans="4:5">
      <c r="D2605" s="2"/>
      <c r="E2605" s="2"/>
    </row>
    <row r="2606" spans="4:5">
      <c r="D2606" s="2"/>
      <c r="E2606" s="2"/>
    </row>
    <row r="2607" spans="4:5">
      <c r="D2607" s="2"/>
      <c r="E2607" s="2"/>
    </row>
    <row r="2608" spans="4:5">
      <c r="D2608" s="2"/>
      <c r="E2608" s="2"/>
    </row>
    <row r="2609" spans="4:5">
      <c r="D2609" s="2"/>
      <c r="E2609" s="2"/>
    </row>
    <row r="2610" spans="4:5">
      <c r="D2610" s="2"/>
      <c r="E2610" s="2"/>
    </row>
    <row r="2611" spans="4:5">
      <c r="D2611" s="2"/>
      <c r="E2611" s="2"/>
    </row>
    <row r="2612" spans="4:5">
      <c r="D2612" s="2"/>
      <c r="E2612" s="2"/>
    </row>
    <row r="2613" spans="4:5">
      <c r="D2613" s="2"/>
      <c r="E2613" s="2"/>
    </row>
    <row r="2614" spans="4:5">
      <c r="D2614" s="2"/>
      <c r="E2614" s="2"/>
    </row>
    <row r="2615" spans="4:5">
      <c r="D2615" s="2"/>
      <c r="E2615" s="2"/>
    </row>
    <row r="2616" spans="4:5">
      <c r="D2616" s="2"/>
      <c r="E2616" s="2"/>
    </row>
    <row r="2617" spans="4:5">
      <c r="D2617" s="2"/>
      <c r="E2617" s="2"/>
    </row>
    <row r="2618" spans="4:5">
      <c r="D2618" s="2"/>
      <c r="E2618" s="2"/>
    </row>
    <row r="2619" spans="4:5">
      <c r="D2619" s="2"/>
      <c r="E2619" s="2"/>
    </row>
    <row r="2620" spans="4:5">
      <c r="D2620" s="2"/>
      <c r="E2620" s="2"/>
    </row>
    <row r="2621" spans="4:5">
      <c r="D2621" s="2"/>
      <c r="E2621" s="2"/>
    </row>
    <row r="2622" spans="4:5">
      <c r="D2622" s="2"/>
      <c r="E2622" s="2"/>
    </row>
    <row r="2623" spans="4:5">
      <c r="D2623" s="2"/>
      <c r="E2623" s="2"/>
    </row>
    <row r="2624" spans="4:5">
      <c r="D2624" s="2"/>
      <c r="E2624" s="2"/>
    </row>
    <row r="2625" spans="4:5">
      <c r="D2625" s="2"/>
      <c r="E2625" s="2"/>
    </row>
    <row r="2626" spans="4:5">
      <c r="D2626" s="2"/>
      <c r="E2626" s="2"/>
    </row>
    <row r="2627" spans="4:5">
      <c r="D2627" s="2"/>
      <c r="E2627" s="2"/>
    </row>
    <row r="2628" spans="4:5">
      <c r="D2628" s="2"/>
      <c r="E2628" s="2"/>
    </row>
    <row r="2629" spans="4:5">
      <c r="D2629" s="2"/>
      <c r="E2629" s="2"/>
    </row>
    <row r="2630" spans="4:5">
      <c r="D2630" s="2"/>
      <c r="E2630" s="2"/>
    </row>
    <row r="2631" spans="4:5">
      <c r="D2631" s="2"/>
      <c r="E2631" s="2"/>
    </row>
    <row r="2632" spans="4:5">
      <c r="D2632" s="2"/>
      <c r="E2632" s="2"/>
    </row>
    <row r="2633" spans="4:5">
      <c r="D2633" s="2"/>
      <c r="E2633" s="2"/>
    </row>
    <row r="2634" spans="4:5">
      <c r="D2634" s="2"/>
      <c r="E2634" s="2"/>
    </row>
    <row r="2635" spans="4:5">
      <c r="D2635" s="2"/>
      <c r="E2635" s="2"/>
    </row>
    <row r="2636" spans="4:5">
      <c r="D2636" s="2"/>
      <c r="E2636" s="2"/>
    </row>
    <row r="2637" spans="4:5">
      <c r="D2637" s="2"/>
      <c r="E2637" s="2"/>
    </row>
    <row r="2638" spans="4:5">
      <c r="D2638" s="2"/>
      <c r="E2638" s="2"/>
    </row>
    <row r="2639" spans="4:5">
      <c r="D2639" s="2"/>
      <c r="E2639" s="2"/>
    </row>
    <row r="2640" spans="4:5">
      <c r="D2640" s="2"/>
      <c r="E2640" s="2"/>
    </row>
    <row r="2641" spans="4:5">
      <c r="D2641" s="2"/>
      <c r="E2641" s="2"/>
    </row>
    <row r="2642" spans="4:5">
      <c r="D2642" s="2"/>
      <c r="E2642" s="2"/>
    </row>
    <row r="2643" spans="4:5">
      <c r="D2643" s="2"/>
      <c r="E2643" s="2"/>
    </row>
    <row r="2644" spans="4:5">
      <c r="D2644" s="2"/>
      <c r="E2644" s="2"/>
    </row>
    <row r="2645" spans="4:5">
      <c r="D2645" s="2"/>
      <c r="E2645" s="2"/>
    </row>
    <row r="2646" spans="4:5">
      <c r="D2646" s="2"/>
      <c r="E2646" s="2"/>
    </row>
    <row r="2647" spans="4:5">
      <c r="D2647" s="2"/>
      <c r="E2647" s="2"/>
    </row>
    <row r="2648" spans="4:5">
      <c r="D2648" s="2"/>
      <c r="E2648" s="2"/>
    </row>
    <row r="2649" spans="4:5">
      <c r="D2649" s="2"/>
      <c r="E2649" s="2"/>
    </row>
    <row r="2650" spans="4:5">
      <c r="D2650" s="2"/>
      <c r="E2650" s="2"/>
    </row>
    <row r="2651" spans="4:5">
      <c r="D2651" s="2"/>
      <c r="E2651" s="2"/>
    </row>
    <row r="2652" spans="4:5">
      <c r="D2652" s="2"/>
      <c r="E2652" s="2"/>
    </row>
    <row r="2653" spans="4:5">
      <c r="D2653" s="2"/>
      <c r="E2653" s="2"/>
    </row>
    <row r="2654" spans="4:5">
      <c r="D2654" s="2"/>
      <c r="E2654" s="2"/>
    </row>
    <row r="2655" spans="4:5">
      <c r="D2655" s="2"/>
      <c r="E2655" s="2"/>
    </row>
    <row r="2656" spans="4:5">
      <c r="D2656" s="2"/>
      <c r="E2656" s="2"/>
    </row>
    <row r="2657" spans="4:5">
      <c r="D2657" s="2"/>
      <c r="E2657" s="2"/>
    </row>
    <row r="2658" spans="4:5">
      <c r="D2658" s="2"/>
      <c r="E2658" s="2"/>
    </row>
    <row r="2659" spans="4:5">
      <c r="D2659" s="2"/>
      <c r="E2659" s="2"/>
    </row>
    <row r="2660" spans="4:5">
      <c r="D2660" s="2"/>
      <c r="E2660" s="2"/>
    </row>
    <row r="2661" spans="4:5">
      <c r="D2661" s="2"/>
      <c r="E2661" s="2"/>
    </row>
    <row r="2662" spans="4:5">
      <c r="D2662" s="2"/>
      <c r="E2662" s="2"/>
    </row>
    <row r="2663" spans="4:5">
      <c r="D2663" s="2"/>
      <c r="E2663" s="2"/>
    </row>
    <row r="2664" spans="4:5">
      <c r="D2664" s="2"/>
      <c r="E2664" s="2"/>
    </row>
    <row r="2665" spans="4:5">
      <c r="D2665" s="2"/>
      <c r="E2665" s="2"/>
    </row>
    <row r="2666" spans="4:5">
      <c r="D2666" s="2"/>
      <c r="E2666" s="2"/>
    </row>
    <row r="2667" spans="4:5">
      <c r="D2667" s="2"/>
      <c r="E2667" s="2"/>
    </row>
    <row r="2668" spans="4:5">
      <c r="D2668" s="2"/>
      <c r="E2668" s="2"/>
    </row>
    <row r="2669" spans="4:5">
      <c r="D2669" s="2"/>
      <c r="E2669" s="2"/>
    </row>
    <row r="2670" spans="4:5">
      <c r="D2670" s="2"/>
      <c r="E2670" s="2"/>
    </row>
    <row r="2671" spans="4:5">
      <c r="D2671" s="2"/>
      <c r="E2671" s="2"/>
    </row>
    <row r="2672" spans="4:5">
      <c r="D2672" s="2"/>
      <c r="E2672" s="2"/>
    </row>
    <row r="2673" spans="4:5">
      <c r="D2673" s="2"/>
      <c r="E2673" s="2"/>
    </row>
    <row r="2674" spans="4:5">
      <c r="D2674" s="2"/>
      <c r="E2674" s="2"/>
    </row>
    <row r="2675" spans="4:5">
      <c r="D2675" s="2"/>
      <c r="E2675" s="2"/>
    </row>
    <row r="2676" spans="4:5">
      <c r="D2676" s="2"/>
      <c r="E2676" s="2"/>
    </row>
    <row r="2677" spans="4:5">
      <c r="D2677" s="2"/>
      <c r="E2677" s="2"/>
    </row>
    <row r="2678" spans="4:5">
      <c r="D2678" s="2"/>
      <c r="E2678" s="2"/>
    </row>
    <row r="2679" spans="4:5">
      <c r="D2679" s="2"/>
      <c r="E2679" s="2"/>
    </row>
    <row r="2680" spans="4:5">
      <c r="D2680" s="2"/>
      <c r="E2680" s="2"/>
    </row>
    <row r="2681" spans="4:5">
      <c r="D2681" s="2"/>
      <c r="E2681" s="2"/>
    </row>
    <row r="2682" spans="4:5">
      <c r="D2682" s="2"/>
      <c r="E2682" s="2"/>
    </row>
    <row r="2683" spans="4:5">
      <c r="D2683" s="2"/>
      <c r="E2683" s="2"/>
    </row>
    <row r="2684" spans="4:5">
      <c r="D2684" s="2"/>
      <c r="E2684" s="2"/>
    </row>
    <row r="2685" spans="4:5">
      <c r="D2685" s="2"/>
      <c r="E2685" s="2"/>
    </row>
    <row r="2686" spans="4:5">
      <c r="D2686" s="2"/>
      <c r="E2686" s="2"/>
    </row>
    <row r="2687" spans="4:5">
      <c r="D2687" s="2"/>
      <c r="E2687" s="2"/>
    </row>
    <row r="2688" spans="4:5">
      <c r="D2688" s="2"/>
      <c r="E2688" s="2"/>
    </row>
    <row r="2689" spans="4:5">
      <c r="D2689" s="2"/>
      <c r="E2689" s="2"/>
    </row>
    <row r="2690" spans="4:5">
      <c r="D2690" s="2"/>
      <c r="E2690" s="2"/>
    </row>
    <row r="2691" spans="4:5">
      <c r="D2691" s="2"/>
      <c r="E2691" s="2"/>
    </row>
    <row r="2692" spans="4:5">
      <c r="D2692" s="2"/>
      <c r="E2692" s="2"/>
    </row>
    <row r="2693" spans="4:5">
      <c r="D2693" s="2"/>
      <c r="E2693" s="2"/>
    </row>
    <row r="2694" spans="4:5">
      <c r="D2694" s="2"/>
      <c r="E2694" s="2"/>
    </row>
    <row r="2695" spans="4:5">
      <c r="D2695" s="2"/>
      <c r="E2695" s="2"/>
    </row>
    <row r="2696" spans="4:5">
      <c r="D2696" s="2"/>
      <c r="E2696" s="2"/>
    </row>
    <row r="2697" spans="4:5">
      <c r="D2697" s="2"/>
      <c r="E2697" s="2"/>
    </row>
    <row r="2698" spans="4:5">
      <c r="D2698" s="2"/>
      <c r="E2698" s="2"/>
    </row>
    <row r="2699" spans="4:5">
      <c r="D2699" s="2"/>
      <c r="E2699" s="2"/>
    </row>
    <row r="2700" spans="4:5">
      <c r="D2700" s="2"/>
      <c r="E2700" s="2"/>
    </row>
    <row r="2701" spans="4:5">
      <c r="D2701" s="2"/>
      <c r="E2701" s="2"/>
    </row>
    <row r="2702" spans="4:5">
      <c r="D2702" s="2"/>
      <c r="E2702" s="2"/>
    </row>
    <row r="2703" spans="4:5">
      <c r="D2703" s="2"/>
      <c r="E2703" s="2"/>
    </row>
    <row r="2704" spans="4:5">
      <c r="D2704" s="2"/>
      <c r="E2704" s="2"/>
    </row>
    <row r="2705" spans="4:5">
      <c r="D2705" s="2"/>
      <c r="E2705" s="2"/>
    </row>
    <row r="2706" spans="4:5">
      <c r="D2706" s="2"/>
      <c r="E2706" s="2"/>
    </row>
    <row r="2707" spans="4:5">
      <c r="D2707" s="2"/>
      <c r="E2707" s="2"/>
    </row>
    <row r="2708" spans="4:5">
      <c r="D2708" s="2"/>
      <c r="E2708" s="2"/>
    </row>
    <row r="2709" spans="4:5">
      <c r="D2709" s="2"/>
      <c r="E2709" s="2"/>
    </row>
    <row r="2710" spans="4:5">
      <c r="D2710" s="2"/>
      <c r="E2710" s="2"/>
    </row>
    <row r="2711" spans="4:5">
      <c r="D2711" s="2"/>
      <c r="E2711" s="2"/>
    </row>
    <row r="2712" spans="4:5">
      <c r="D2712" s="2"/>
      <c r="E2712" s="2"/>
    </row>
    <row r="2713" spans="4:5">
      <c r="D2713" s="2"/>
      <c r="E2713" s="2"/>
    </row>
    <row r="2714" spans="4:5">
      <c r="D2714" s="2"/>
      <c r="E2714" s="2"/>
    </row>
    <row r="2715" spans="4:5">
      <c r="D2715" s="2"/>
      <c r="E2715" s="2"/>
    </row>
    <row r="2716" spans="4:5">
      <c r="D2716" s="2"/>
      <c r="E2716" s="2"/>
    </row>
    <row r="2717" spans="4:5">
      <c r="D2717" s="2"/>
      <c r="E2717" s="2"/>
    </row>
    <row r="2718" spans="4:5">
      <c r="D2718" s="2"/>
      <c r="E2718" s="2"/>
    </row>
    <row r="2719" spans="4:5">
      <c r="D2719" s="2"/>
      <c r="E2719" s="2"/>
    </row>
    <row r="2720" spans="4:5">
      <c r="D2720" s="2"/>
      <c r="E2720" s="2"/>
    </row>
    <row r="2721" spans="4:5">
      <c r="D2721" s="2"/>
      <c r="E2721" s="2"/>
    </row>
    <row r="2722" spans="4:5">
      <c r="D2722" s="2"/>
      <c r="E2722" s="2"/>
    </row>
    <row r="2723" spans="4:5">
      <c r="D2723" s="2"/>
      <c r="E2723" s="2"/>
    </row>
    <row r="2724" spans="4:5">
      <c r="D2724" s="2"/>
      <c r="E2724" s="2"/>
    </row>
    <row r="2725" spans="4:5">
      <c r="D2725" s="2"/>
      <c r="E2725" s="2"/>
    </row>
    <row r="2726" spans="4:5">
      <c r="D2726" s="2"/>
      <c r="E2726" s="2"/>
    </row>
    <row r="2727" spans="4:5">
      <c r="D2727" s="2"/>
      <c r="E2727" s="2"/>
    </row>
    <row r="2728" spans="4:5">
      <c r="D2728" s="2"/>
      <c r="E2728" s="2"/>
    </row>
    <row r="2729" spans="4:5">
      <c r="D2729" s="2"/>
      <c r="E2729" s="2"/>
    </row>
    <row r="2730" spans="4:5">
      <c r="D2730" s="2"/>
      <c r="E2730" s="2"/>
    </row>
    <row r="2731" spans="4:5">
      <c r="D2731" s="2"/>
      <c r="E2731" s="2"/>
    </row>
    <row r="2732" spans="4:5">
      <c r="D2732" s="2"/>
      <c r="E2732" s="2"/>
    </row>
    <row r="2733" spans="4:5">
      <c r="D2733" s="2"/>
      <c r="E2733" s="2"/>
    </row>
    <row r="2734" spans="4:5">
      <c r="D2734" s="2"/>
      <c r="E2734" s="2"/>
    </row>
    <row r="2735" spans="4:5">
      <c r="D2735" s="2"/>
      <c r="E2735" s="2"/>
    </row>
    <row r="2736" spans="4:5">
      <c r="D2736" s="2"/>
      <c r="E2736" s="2"/>
    </row>
    <row r="2737" spans="4:5">
      <c r="D2737" s="2"/>
      <c r="E2737" s="2"/>
    </row>
    <row r="2738" spans="4:5">
      <c r="D2738" s="2"/>
      <c r="E2738" s="2"/>
    </row>
    <row r="2739" spans="4:5">
      <c r="D2739" s="2"/>
      <c r="E2739" s="2"/>
    </row>
    <row r="2740" spans="4:5">
      <c r="D2740" s="2"/>
      <c r="E2740" s="2"/>
    </row>
    <row r="2741" spans="4:5">
      <c r="D2741" s="2"/>
      <c r="E2741" s="2"/>
    </row>
    <row r="2742" spans="4:5">
      <c r="D2742" s="2"/>
      <c r="E2742" s="2"/>
    </row>
    <row r="2743" spans="4:5">
      <c r="D2743" s="2"/>
      <c r="E2743" s="2"/>
    </row>
    <row r="2744" spans="4:5">
      <c r="D2744" s="2"/>
      <c r="E2744" s="2"/>
    </row>
    <row r="2745" spans="4:5">
      <c r="D2745" s="2"/>
      <c r="E2745" s="2"/>
    </row>
    <row r="2746" spans="4:5">
      <c r="D2746" s="2"/>
      <c r="E2746" s="2"/>
    </row>
    <row r="2747" spans="4:5">
      <c r="D2747" s="2"/>
      <c r="E2747" s="2"/>
    </row>
    <row r="2748" spans="4:5">
      <c r="D2748" s="2"/>
      <c r="E2748" s="2"/>
    </row>
    <row r="2749" spans="4:5">
      <c r="D2749" s="2"/>
      <c r="E2749" s="2"/>
    </row>
    <row r="2750" spans="4:5">
      <c r="D2750" s="2"/>
      <c r="E2750" s="2"/>
    </row>
    <row r="2751" spans="4:5">
      <c r="D2751" s="2"/>
      <c r="E2751" s="2"/>
    </row>
    <row r="2752" spans="4:5">
      <c r="D2752" s="2"/>
      <c r="E2752" s="2"/>
    </row>
    <row r="2753" spans="4:5">
      <c r="D2753" s="2"/>
      <c r="E2753" s="2"/>
    </row>
    <row r="2754" spans="4:5">
      <c r="D2754" s="2"/>
      <c r="E2754" s="2"/>
    </row>
    <row r="2755" spans="4:5">
      <c r="D2755" s="2"/>
      <c r="E2755" s="2"/>
    </row>
    <row r="2756" spans="4:5">
      <c r="D2756" s="2"/>
      <c r="E2756" s="2"/>
    </row>
    <row r="2757" spans="4:5">
      <c r="D2757" s="2"/>
      <c r="E2757" s="2"/>
    </row>
    <row r="2758" spans="4:5">
      <c r="D2758" s="2"/>
      <c r="E2758" s="2"/>
    </row>
    <row r="2759" spans="4:5">
      <c r="D2759" s="2"/>
      <c r="E2759" s="2"/>
    </row>
    <row r="2760" spans="4:5">
      <c r="D2760" s="2"/>
      <c r="E2760" s="2"/>
    </row>
    <row r="2761" spans="4:5">
      <c r="D2761" s="2"/>
      <c r="E2761" s="2"/>
    </row>
    <row r="2762" spans="4:5">
      <c r="D2762" s="2"/>
      <c r="E2762" s="2"/>
    </row>
    <row r="2763" spans="4:5">
      <c r="D2763" s="2"/>
      <c r="E2763" s="2"/>
    </row>
    <row r="2764" spans="4:5">
      <c r="D2764" s="2"/>
      <c r="E2764" s="2"/>
    </row>
    <row r="2765" spans="4:5">
      <c r="D2765" s="2"/>
      <c r="E2765" s="2"/>
    </row>
    <row r="2766" spans="4:5">
      <c r="D2766" s="2"/>
      <c r="E2766" s="2"/>
    </row>
    <row r="2767" spans="4:5">
      <c r="D2767" s="2"/>
      <c r="E2767" s="2"/>
    </row>
    <row r="2768" spans="4:5">
      <c r="D2768" s="2"/>
      <c r="E2768" s="2"/>
    </row>
    <row r="2769" spans="4:5">
      <c r="D2769" s="2"/>
      <c r="E2769" s="2"/>
    </row>
    <row r="2770" spans="4:5">
      <c r="D2770" s="2"/>
      <c r="E2770" s="2"/>
    </row>
    <row r="2771" spans="4:5">
      <c r="D2771" s="2"/>
      <c r="E2771" s="2"/>
    </row>
    <row r="2772" spans="4:5">
      <c r="D2772" s="2"/>
      <c r="E2772" s="2"/>
    </row>
    <row r="2773" spans="4:5">
      <c r="D2773" s="2"/>
      <c r="E2773" s="2"/>
    </row>
    <row r="2774" spans="4:5">
      <c r="D2774" s="2"/>
      <c r="E2774" s="2"/>
    </row>
    <row r="2775" spans="4:5">
      <c r="D2775" s="2"/>
      <c r="E2775" s="2"/>
    </row>
    <row r="2776" spans="4:5">
      <c r="D2776" s="2"/>
      <c r="E2776" s="2"/>
    </row>
    <row r="2777" spans="4:5">
      <c r="D2777" s="2"/>
      <c r="E2777" s="2"/>
    </row>
    <row r="2778" spans="4:5">
      <c r="D2778" s="2"/>
      <c r="E2778" s="2"/>
    </row>
    <row r="2779" spans="4:5">
      <c r="D2779" s="2"/>
      <c r="E2779" s="2"/>
    </row>
    <row r="2780" spans="4:5">
      <c r="D2780" s="2"/>
      <c r="E2780" s="2"/>
    </row>
    <row r="2781" spans="4:5">
      <c r="D2781" s="2"/>
      <c r="E2781" s="2"/>
    </row>
    <row r="2782" spans="4:5">
      <c r="D2782" s="2"/>
      <c r="E2782" s="2"/>
    </row>
    <row r="2783" spans="4:5">
      <c r="D2783" s="2"/>
      <c r="E2783" s="2"/>
    </row>
    <row r="2784" spans="4:5">
      <c r="D2784" s="2"/>
      <c r="E2784" s="2"/>
    </row>
    <row r="2785" spans="4:5">
      <c r="D2785" s="2"/>
      <c r="E2785" s="2"/>
    </row>
    <row r="2786" spans="4:5">
      <c r="D2786" s="2"/>
      <c r="E2786" s="2"/>
    </row>
    <row r="2787" spans="4:5">
      <c r="D2787" s="2"/>
      <c r="E2787" s="2"/>
    </row>
    <row r="2788" spans="4:5">
      <c r="D2788" s="2"/>
      <c r="E2788" s="2"/>
    </row>
    <row r="2789" spans="4:5">
      <c r="D2789" s="2"/>
      <c r="E2789" s="2"/>
    </row>
    <row r="2790" spans="4:5">
      <c r="D2790" s="2"/>
      <c r="E2790" s="2"/>
    </row>
    <row r="2791" spans="4:5">
      <c r="D2791" s="2"/>
      <c r="E2791" s="2"/>
    </row>
    <row r="2792" spans="4:5">
      <c r="D2792" s="2"/>
      <c r="E2792" s="2"/>
    </row>
    <row r="2793" spans="4:5">
      <c r="D2793" s="2"/>
      <c r="E2793" s="2"/>
    </row>
    <row r="2794" spans="4:5">
      <c r="D2794" s="2"/>
      <c r="E2794" s="2"/>
    </row>
    <row r="2795" spans="4:5">
      <c r="D2795" s="2"/>
      <c r="E2795" s="2"/>
    </row>
    <row r="2796" spans="4:5">
      <c r="D2796" s="2"/>
      <c r="E2796" s="2"/>
    </row>
    <row r="2797" spans="4:5">
      <c r="D2797" s="2"/>
      <c r="E2797" s="2"/>
    </row>
    <row r="2798" spans="4:5">
      <c r="D2798" s="2"/>
      <c r="E2798" s="2"/>
    </row>
    <row r="2799" spans="4:5">
      <c r="D2799" s="2"/>
      <c r="E2799" s="2"/>
    </row>
    <row r="2800" spans="4:5">
      <c r="D2800" s="2"/>
      <c r="E2800" s="2"/>
    </row>
    <row r="2801" spans="4:5">
      <c r="D2801" s="2"/>
      <c r="E2801" s="2"/>
    </row>
    <row r="2802" spans="4:5">
      <c r="D2802" s="2"/>
      <c r="E2802" s="2"/>
    </row>
    <row r="2803" spans="4:5">
      <c r="D2803" s="2"/>
      <c r="E2803" s="2"/>
    </row>
    <row r="2804" spans="4:5">
      <c r="D2804" s="2"/>
      <c r="E2804" s="2"/>
    </row>
    <row r="2805" spans="4:5">
      <c r="D2805" s="2"/>
      <c r="E2805" s="2"/>
    </row>
    <row r="2806" spans="4:5">
      <c r="D2806" s="2"/>
      <c r="E2806" s="2"/>
    </row>
    <row r="2807" spans="4:5">
      <c r="D2807" s="2"/>
      <c r="E2807" s="2"/>
    </row>
    <row r="2808" spans="4:5">
      <c r="D2808" s="2"/>
      <c r="E2808" s="2"/>
    </row>
    <row r="2809" spans="4:5">
      <c r="D2809" s="2"/>
      <c r="E2809" s="2"/>
    </row>
    <row r="2810" spans="4:5">
      <c r="D2810" s="2"/>
      <c r="E2810" s="2"/>
    </row>
    <row r="2811" spans="4:5">
      <c r="D2811" s="2"/>
      <c r="E2811" s="2"/>
    </row>
    <row r="2812" spans="4:5">
      <c r="D2812" s="2"/>
      <c r="E2812" s="2"/>
    </row>
    <row r="2813" spans="4:5">
      <c r="D2813" s="2"/>
      <c r="E2813" s="2"/>
    </row>
    <row r="2814" spans="4:5">
      <c r="D2814" s="2"/>
      <c r="E2814" s="2"/>
    </row>
    <row r="2815" spans="4:5">
      <c r="D2815" s="2"/>
      <c r="E2815" s="2"/>
    </row>
    <row r="2816" spans="4:5">
      <c r="D2816" s="2"/>
      <c r="E2816" s="2"/>
    </row>
    <row r="2817" spans="4:5">
      <c r="D2817" s="2"/>
      <c r="E2817" s="2"/>
    </row>
    <row r="2818" spans="4:5">
      <c r="D2818" s="2"/>
      <c r="E2818" s="2"/>
    </row>
    <row r="2819" spans="4:5">
      <c r="D2819" s="2"/>
      <c r="E2819" s="2"/>
    </row>
    <row r="2820" spans="4:5">
      <c r="D2820" s="2"/>
      <c r="E2820" s="2"/>
    </row>
    <row r="2821" spans="4:5">
      <c r="D2821" s="2"/>
      <c r="E2821" s="2"/>
    </row>
    <row r="2822" spans="4:5">
      <c r="D2822" s="2"/>
      <c r="E2822" s="2"/>
    </row>
    <row r="2823" spans="4:5">
      <c r="D2823" s="2"/>
      <c r="E2823" s="2"/>
    </row>
    <row r="2824" spans="4:5">
      <c r="D2824" s="2"/>
      <c r="E2824" s="2"/>
    </row>
    <row r="2825" spans="4:5">
      <c r="D2825" s="2"/>
      <c r="E2825" s="2"/>
    </row>
    <row r="2826" spans="4:5">
      <c r="D2826" s="2"/>
      <c r="E2826" s="2"/>
    </row>
    <row r="2827" spans="4:5">
      <c r="D2827" s="2"/>
      <c r="E2827" s="2"/>
    </row>
    <row r="2828" spans="4:5">
      <c r="D2828" s="2"/>
      <c r="E2828" s="2"/>
    </row>
    <row r="2829" spans="4:5">
      <c r="D2829" s="2"/>
      <c r="E2829" s="2"/>
    </row>
    <row r="2830" spans="4:5">
      <c r="D2830" s="2"/>
      <c r="E2830" s="2"/>
    </row>
    <row r="2831" spans="4:5">
      <c r="D2831" s="2"/>
      <c r="E2831" s="2"/>
    </row>
    <row r="2832" spans="4:5">
      <c r="D2832" s="2"/>
      <c r="E2832" s="2"/>
    </row>
    <row r="2833" spans="4:5">
      <c r="D2833" s="2"/>
      <c r="E2833" s="2"/>
    </row>
    <row r="2834" spans="4:5">
      <c r="D2834" s="2"/>
      <c r="E2834" s="2"/>
    </row>
    <row r="2835" spans="4:5">
      <c r="D2835" s="2"/>
      <c r="E2835" s="2"/>
    </row>
    <row r="2836" spans="4:5">
      <c r="D2836" s="2"/>
      <c r="E2836" s="2"/>
    </row>
    <row r="2837" spans="4:5">
      <c r="D2837" s="2"/>
      <c r="E2837" s="2"/>
    </row>
    <row r="2838" spans="4:5">
      <c r="D2838" s="2"/>
      <c r="E2838" s="2"/>
    </row>
    <row r="2839" spans="4:5">
      <c r="D2839" s="2"/>
      <c r="E2839" s="2"/>
    </row>
    <row r="2840" spans="4:5">
      <c r="D2840" s="2"/>
      <c r="E2840" s="2"/>
    </row>
    <row r="2841" spans="4:5">
      <c r="D2841" s="2"/>
      <c r="E2841" s="2"/>
    </row>
    <row r="2842" spans="4:5">
      <c r="D2842" s="2"/>
      <c r="E2842" s="2"/>
    </row>
    <row r="2843" spans="4:5">
      <c r="D2843" s="2"/>
      <c r="E2843" s="2"/>
    </row>
    <row r="2844" spans="4:5">
      <c r="D2844" s="2"/>
      <c r="E2844" s="2"/>
    </row>
    <row r="2845" spans="4:5">
      <c r="D2845" s="2"/>
      <c r="E2845" s="2"/>
    </row>
    <row r="2846" spans="4:5">
      <c r="D2846" s="2"/>
      <c r="E2846" s="2"/>
    </row>
    <row r="2847" spans="4:5">
      <c r="D2847" s="2"/>
      <c r="E2847" s="2"/>
    </row>
    <row r="2848" spans="4:5">
      <c r="D2848" s="2"/>
      <c r="E2848" s="2"/>
    </row>
    <row r="2849" spans="4:5">
      <c r="D2849" s="2"/>
      <c r="E2849" s="2"/>
    </row>
    <row r="2850" spans="4:5">
      <c r="D2850" s="2"/>
      <c r="E2850" s="2"/>
    </row>
    <row r="2851" spans="4:5">
      <c r="D2851" s="2"/>
      <c r="E2851" s="2"/>
    </row>
    <row r="2852" spans="4:5">
      <c r="D2852" s="2"/>
      <c r="E2852" s="2"/>
    </row>
    <row r="2853" spans="4:5">
      <c r="D2853" s="2"/>
      <c r="E2853" s="2"/>
    </row>
    <row r="2854" spans="4:5">
      <c r="D2854" s="2"/>
      <c r="E2854" s="2"/>
    </row>
    <row r="2855" spans="4:5">
      <c r="D2855" s="2"/>
      <c r="E2855" s="2"/>
    </row>
    <row r="2856" spans="4:5">
      <c r="D2856" s="2"/>
      <c r="E2856" s="2"/>
    </row>
    <row r="2857" spans="4:5">
      <c r="D2857" s="2"/>
      <c r="E2857" s="2"/>
    </row>
    <row r="2858" spans="4:5">
      <c r="D2858" s="2"/>
      <c r="E2858" s="2"/>
    </row>
    <row r="2859" spans="4:5">
      <c r="D2859" s="2"/>
      <c r="E2859" s="2"/>
    </row>
    <row r="2860" spans="4:5">
      <c r="D2860" s="2"/>
      <c r="E2860" s="2"/>
    </row>
    <row r="2861" spans="4:5">
      <c r="D2861" s="2"/>
      <c r="E2861" s="2"/>
    </row>
    <row r="2862" spans="4:5">
      <c r="D2862" s="2"/>
      <c r="E2862" s="2"/>
    </row>
    <row r="2863" spans="4:5">
      <c r="D2863" s="2"/>
      <c r="E2863" s="2"/>
    </row>
    <row r="2864" spans="4:5">
      <c r="D2864" s="2"/>
      <c r="E2864" s="2"/>
    </row>
    <row r="2865" spans="4:5">
      <c r="D2865" s="2"/>
      <c r="E2865" s="2"/>
    </row>
    <row r="2866" spans="4:5">
      <c r="D2866" s="2"/>
      <c r="E2866" s="2"/>
    </row>
    <row r="2867" spans="4:5">
      <c r="D2867" s="2"/>
      <c r="E2867" s="2"/>
    </row>
    <row r="2868" spans="4:5">
      <c r="D2868" s="2"/>
      <c r="E2868" s="2"/>
    </row>
    <row r="2869" spans="4:5">
      <c r="D2869" s="2"/>
      <c r="E2869" s="2"/>
    </row>
    <row r="2870" spans="4:5">
      <c r="D2870" s="2"/>
      <c r="E2870" s="2"/>
    </row>
    <row r="2871" spans="4:5">
      <c r="D2871" s="2"/>
      <c r="E2871" s="2"/>
    </row>
    <row r="2872" spans="4:5">
      <c r="D2872" s="2"/>
      <c r="E2872" s="2"/>
    </row>
    <row r="2873" spans="4:5">
      <c r="D2873" s="2"/>
      <c r="E2873" s="2"/>
    </row>
    <row r="2874" spans="4:5">
      <c r="D2874" s="2"/>
      <c r="E2874" s="2"/>
    </row>
    <row r="2875" spans="4:5">
      <c r="D2875" s="2"/>
      <c r="E2875" s="2"/>
    </row>
    <row r="2876" spans="4:5">
      <c r="D2876" s="2"/>
      <c r="E2876" s="2"/>
    </row>
    <row r="2877" spans="4:5">
      <c r="D2877" s="2"/>
      <c r="E2877" s="2"/>
    </row>
    <row r="2878" spans="4:5">
      <c r="D2878" s="2"/>
      <c r="E2878" s="2"/>
    </row>
  </sheetData>
  <mergeCells count="1">
    <mergeCell ref="A2:G2"/>
  </mergeCells>
  <pageMargins left="0.25" right="0.25" top="0.75" bottom="0.75" header="0.3" footer="0.3"/>
  <pageSetup scale="62" orientation="portrait" r:id="rId1"/>
  <rowBreaks count="1" manualBreakCount="1">
    <brk id="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304E-DD57-415F-824B-F0A71F273B29}">
  <sheetPr>
    <pageSetUpPr fitToPage="1"/>
  </sheetPr>
  <dimension ref="A2:G9"/>
  <sheetViews>
    <sheetView showGridLines="0" view="pageBreakPreview" topLeftCell="A5" zoomScaleSheetLayoutView="100" workbookViewId="0">
      <selection activeCell="F11" sqref="F11"/>
    </sheetView>
  </sheetViews>
  <sheetFormatPr baseColWidth="10" defaultColWidth="7" defaultRowHeight="15"/>
  <cols>
    <col min="1" max="1" width="8.1640625" style="34" customWidth="1"/>
    <col min="2" max="2" width="62.5" style="27" customWidth="1"/>
    <col min="3" max="3" width="10.1640625" style="34" customWidth="1"/>
    <col min="4" max="4" width="9.5" style="35" customWidth="1"/>
    <col min="5" max="5" width="9.1640625" style="35" customWidth="1"/>
    <col min="6" max="6" width="15.1640625" style="36" bestFit="1" customWidth="1"/>
    <col min="7" max="7" width="27.5" style="34" customWidth="1"/>
    <col min="8" max="8" width="7" style="27" customWidth="1"/>
    <col min="9" max="16384" width="7" style="27"/>
  </cols>
  <sheetData>
    <row r="2" spans="1:7" ht="21">
      <c r="A2" s="129" t="s">
        <v>87</v>
      </c>
      <c r="B2" s="130"/>
      <c r="C2" s="130"/>
      <c r="D2" s="130"/>
      <c r="E2" s="130"/>
      <c r="F2" s="130"/>
      <c r="G2" s="131"/>
    </row>
    <row r="3" spans="1:7" ht="19">
      <c r="A3" s="113" t="s">
        <v>9</v>
      </c>
      <c r="B3" s="114" t="s">
        <v>10</v>
      </c>
      <c r="C3" s="115" t="s">
        <v>1</v>
      </c>
      <c r="D3" s="116" t="s">
        <v>2</v>
      </c>
      <c r="E3" s="116" t="s">
        <v>5</v>
      </c>
      <c r="F3" s="117" t="s">
        <v>4</v>
      </c>
      <c r="G3" s="118" t="s">
        <v>13</v>
      </c>
    </row>
    <row r="4" spans="1:7" ht="16">
      <c r="A4" s="33"/>
      <c r="B4" s="28" t="s">
        <v>33</v>
      </c>
      <c r="C4" s="30"/>
      <c r="D4" s="31"/>
      <c r="E4" s="31"/>
      <c r="F4" s="1"/>
      <c r="G4" s="32"/>
    </row>
    <row r="5" spans="1:7" ht="128">
      <c r="A5" s="33">
        <v>1</v>
      </c>
      <c r="B5" s="25" t="s">
        <v>99</v>
      </c>
      <c r="C5" s="24" t="s">
        <v>0</v>
      </c>
      <c r="D5" s="31">
        <v>66000</v>
      </c>
      <c r="E5" s="31">
        <v>1</v>
      </c>
      <c r="F5" s="1">
        <f>E5*D5</f>
        <v>66000</v>
      </c>
      <c r="G5" s="32"/>
    </row>
    <row r="6" spans="1:7" ht="64">
      <c r="A6" s="125">
        <v>2</v>
      </c>
      <c r="B6" s="67" t="s">
        <v>100</v>
      </c>
      <c r="C6" s="126" t="s">
        <v>101</v>
      </c>
      <c r="D6" s="127">
        <v>1480</v>
      </c>
      <c r="E6" s="127">
        <v>40</v>
      </c>
      <c r="F6" s="1">
        <f>E6*D6</f>
        <v>59200</v>
      </c>
      <c r="G6" s="128"/>
    </row>
    <row r="7" spans="1:7" ht="96">
      <c r="A7" s="125">
        <v>3</v>
      </c>
      <c r="B7" s="67" t="s">
        <v>91</v>
      </c>
      <c r="C7" s="126" t="s">
        <v>93</v>
      </c>
      <c r="D7" s="127">
        <v>12800</v>
      </c>
      <c r="E7" s="127">
        <v>1</v>
      </c>
      <c r="F7" s="1">
        <f t="shared" ref="F7:F8" si="0">E7*D7</f>
        <v>12800</v>
      </c>
      <c r="G7" s="128"/>
    </row>
    <row r="8" spans="1:7" ht="64">
      <c r="A8" s="125">
        <v>4</v>
      </c>
      <c r="B8" s="67" t="s">
        <v>92</v>
      </c>
      <c r="C8" s="126" t="s">
        <v>1</v>
      </c>
      <c r="D8" s="127">
        <v>14750</v>
      </c>
      <c r="E8" s="127">
        <v>1</v>
      </c>
      <c r="F8" s="1">
        <f t="shared" si="0"/>
        <v>14750</v>
      </c>
      <c r="G8" s="128"/>
    </row>
    <row r="9" spans="1:7" ht="16">
      <c r="A9" s="109"/>
      <c r="B9" s="110" t="s">
        <v>32</v>
      </c>
      <c r="C9" s="109"/>
      <c r="D9" s="111"/>
      <c r="E9" s="111"/>
      <c r="F9" s="112">
        <f>SUM(F5:F8)</f>
        <v>152750</v>
      </c>
      <c r="G9" s="109"/>
    </row>
  </sheetData>
  <mergeCells count="1">
    <mergeCell ref="A2:G2"/>
  </mergeCells>
  <pageMargins left="0.25" right="0.25" top="0.75" bottom="0.75" header="0.3" footer="0.3"/>
  <pageSetup scale="67" fitToHeight="0" orientation="portrait" r:id="rId1"/>
  <headerFooter>
    <oddFooter>&amp;CPublic &amp;"Arial,Regular"&amp;8&amp;K008000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ransitionEvaluation="1" transitionEntry="1">
    <pageSetUpPr fitToPage="1"/>
  </sheetPr>
  <dimension ref="A2:H25"/>
  <sheetViews>
    <sheetView view="pageBreakPreview" topLeftCell="A15" zoomScale="80" zoomScaleNormal="80" zoomScaleSheetLayoutView="80" workbookViewId="0">
      <selection activeCell="G20" sqref="G20"/>
    </sheetView>
  </sheetViews>
  <sheetFormatPr baseColWidth="10" defaultColWidth="9.1640625" defaultRowHeight="16"/>
  <cols>
    <col min="1" max="1" width="9.5" style="5" customWidth="1"/>
    <col min="2" max="2" width="58.1640625" style="20" customWidth="1"/>
    <col min="3" max="3" width="7.1640625" style="21" customWidth="1"/>
    <col min="4" max="4" width="14.5" style="46" bestFit="1" customWidth="1"/>
    <col min="5" max="5" width="13.1640625" style="47" bestFit="1" customWidth="1"/>
    <col min="6" max="6" width="18" style="47" bestFit="1" customWidth="1"/>
    <col min="7" max="7" width="43" style="22" customWidth="1"/>
    <col min="8" max="8" width="53.83203125" style="20" customWidth="1"/>
    <col min="9" max="16384" width="9.1640625" style="20"/>
  </cols>
  <sheetData>
    <row r="2" spans="1:7" s="27" customFormat="1" ht="21">
      <c r="A2" s="129" t="s">
        <v>61</v>
      </c>
      <c r="B2" s="130"/>
      <c r="C2" s="130"/>
      <c r="D2" s="130"/>
      <c r="E2" s="130"/>
      <c r="F2" s="130"/>
      <c r="G2" s="131"/>
    </row>
    <row r="3" spans="1:7" s="27" customFormat="1" ht="26.5" customHeight="1">
      <c r="A3" s="113" t="s">
        <v>9</v>
      </c>
      <c r="B3" s="114" t="s">
        <v>10</v>
      </c>
      <c r="C3" s="119" t="s">
        <v>1</v>
      </c>
      <c r="D3" s="116" t="s">
        <v>2</v>
      </c>
      <c r="E3" s="116" t="s">
        <v>5</v>
      </c>
      <c r="F3" s="117" t="s">
        <v>4</v>
      </c>
      <c r="G3" s="118" t="s">
        <v>13</v>
      </c>
    </row>
    <row r="4" spans="1:7" ht="17">
      <c r="A4" s="120" t="s">
        <v>7</v>
      </c>
      <c r="B4" s="121" t="s">
        <v>6</v>
      </c>
      <c r="C4" s="122"/>
      <c r="D4" s="123"/>
      <c r="E4" s="124"/>
      <c r="F4" s="124"/>
      <c r="G4" s="18"/>
    </row>
    <row r="5" spans="1:7" ht="80">
      <c r="A5" s="17">
        <v>1</v>
      </c>
      <c r="B5" s="25" t="s">
        <v>34</v>
      </c>
      <c r="C5" s="19" t="s">
        <v>3</v>
      </c>
      <c r="D5" s="43">
        <v>68500</v>
      </c>
      <c r="E5" s="42">
        <v>2</v>
      </c>
      <c r="F5" s="42">
        <f>E5*D5</f>
        <v>137000</v>
      </c>
      <c r="G5" s="41" t="s">
        <v>94</v>
      </c>
    </row>
    <row r="6" spans="1:7" ht="96">
      <c r="A6" s="17">
        <v>2</v>
      </c>
      <c r="B6" s="25" t="s">
        <v>35</v>
      </c>
      <c r="C6" s="19" t="s">
        <v>3</v>
      </c>
      <c r="D6" s="43">
        <v>118500</v>
      </c>
      <c r="E6" s="42">
        <v>2</v>
      </c>
      <c r="F6" s="42">
        <f>E6*D6</f>
        <v>237000</v>
      </c>
      <c r="G6" s="41" t="s">
        <v>94</v>
      </c>
    </row>
    <row r="7" spans="1:7" ht="112">
      <c r="A7" s="17">
        <v>3</v>
      </c>
      <c r="B7" s="25" t="s">
        <v>39</v>
      </c>
      <c r="C7" s="19" t="s">
        <v>3</v>
      </c>
      <c r="D7" s="44">
        <v>176200</v>
      </c>
      <c r="E7" s="45">
        <v>4</v>
      </c>
      <c r="F7" s="42">
        <f>E7*D7</f>
        <v>704800</v>
      </c>
      <c r="G7" s="41" t="s">
        <v>94</v>
      </c>
    </row>
    <row r="8" spans="1:7" ht="80">
      <c r="A8" s="17">
        <v>4</v>
      </c>
      <c r="B8" s="67" t="s">
        <v>51</v>
      </c>
      <c r="C8" s="40" t="s">
        <v>52</v>
      </c>
      <c r="D8" s="44">
        <v>12000</v>
      </c>
      <c r="E8" s="45">
        <v>1</v>
      </c>
      <c r="F8" s="42">
        <f>E8*D8</f>
        <v>12000</v>
      </c>
      <c r="G8" s="41"/>
    </row>
    <row r="9" spans="1:7">
      <c r="A9" s="109"/>
      <c r="B9" s="110" t="s">
        <v>36</v>
      </c>
      <c r="C9" s="109"/>
      <c r="D9" s="111"/>
      <c r="E9" s="111"/>
      <c r="F9" s="112">
        <f>SUM(F5:F8)</f>
        <v>1090800</v>
      </c>
      <c r="G9" s="109"/>
    </row>
    <row r="10" spans="1:7">
      <c r="A10" s="68"/>
      <c r="B10" s="69"/>
      <c r="C10" s="70"/>
      <c r="D10" s="71"/>
      <c r="E10" s="72"/>
      <c r="F10" s="72"/>
      <c r="G10" s="73"/>
    </row>
    <row r="11" spans="1:7" ht="17">
      <c r="A11" s="120" t="s">
        <v>62</v>
      </c>
      <c r="B11" s="121" t="s">
        <v>37</v>
      </c>
      <c r="C11" s="19"/>
      <c r="D11" s="43"/>
      <c r="E11" s="42"/>
      <c r="F11" s="42"/>
      <c r="G11" s="18"/>
    </row>
    <row r="12" spans="1:7" ht="96">
      <c r="A12" s="17">
        <v>5</v>
      </c>
      <c r="B12" s="25" t="s">
        <v>38</v>
      </c>
      <c r="C12" s="19" t="s">
        <v>3</v>
      </c>
      <c r="D12" s="43">
        <v>74800</v>
      </c>
      <c r="E12" s="42">
        <v>2</v>
      </c>
      <c r="F12" s="42">
        <f t="shared" ref="F12:F24" si="0">E12*D12</f>
        <v>149600</v>
      </c>
      <c r="G12" s="18" t="s">
        <v>94</v>
      </c>
    </row>
    <row r="13" spans="1:7" ht="64">
      <c r="A13" s="17">
        <v>6</v>
      </c>
      <c r="B13" s="25" t="s">
        <v>40</v>
      </c>
      <c r="C13" s="19" t="s">
        <v>3</v>
      </c>
      <c r="D13" s="43">
        <v>3650</v>
      </c>
      <c r="E13" s="42">
        <v>8</v>
      </c>
      <c r="F13" s="42">
        <f t="shared" si="0"/>
        <v>29200</v>
      </c>
      <c r="G13" s="18" t="s">
        <v>94</v>
      </c>
    </row>
    <row r="14" spans="1:7" ht="112">
      <c r="A14" s="17">
        <v>7</v>
      </c>
      <c r="B14" s="25" t="s">
        <v>41</v>
      </c>
      <c r="C14" s="19" t="s">
        <v>3</v>
      </c>
      <c r="D14" s="43">
        <v>16800</v>
      </c>
      <c r="E14" s="42">
        <v>1</v>
      </c>
      <c r="F14" s="42">
        <f t="shared" si="0"/>
        <v>16800</v>
      </c>
      <c r="G14" s="18" t="s">
        <v>94</v>
      </c>
    </row>
    <row r="15" spans="1:7" ht="48">
      <c r="A15" s="17">
        <v>8</v>
      </c>
      <c r="B15" s="25" t="s">
        <v>102</v>
      </c>
      <c r="C15" s="19" t="s">
        <v>3</v>
      </c>
      <c r="D15" s="44">
        <v>28750</v>
      </c>
      <c r="E15" s="45">
        <v>1</v>
      </c>
      <c r="F15" s="42">
        <f t="shared" si="0"/>
        <v>28750</v>
      </c>
      <c r="G15" s="41" t="s">
        <v>103</v>
      </c>
    </row>
    <row r="16" spans="1:7" ht="64">
      <c r="A16" s="17">
        <v>9</v>
      </c>
      <c r="B16" s="25" t="s">
        <v>42</v>
      </c>
      <c r="C16" s="19" t="s">
        <v>3</v>
      </c>
      <c r="D16" s="43">
        <v>3950</v>
      </c>
      <c r="E16" s="42">
        <v>3</v>
      </c>
      <c r="F16" s="42">
        <f t="shared" si="0"/>
        <v>11850</v>
      </c>
      <c r="G16" s="18" t="s">
        <v>97</v>
      </c>
    </row>
    <row r="17" spans="1:8" ht="96">
      <c r="A17" s="17">
        <v>10</v>
      </c>
      <c r="B17" s="25" t="s">
        <v>43</v>
      </c>
      <c r="C17" s="19" t="s">
        <v>3</v>
      </c>
      <c r="D17" s="43">
        <v>8200</v>
      </c>
      <c r="E17" s="42">
        <v>5</v>
      </c>
      <c r="F17" s="42">
        <f t="shared" si="0"/>
        <v>41000</v>
      </c>
      <c r="G17" s="18" t="s">
        <v>97</v>
      </c>
    </row>
    <row r="18" spans="1:8" ht="48">
      <c r="A18" s="17">
        <v>11</v>
      </c>
      <c r="B18" s="25" t="s">
        <v>44</v>
      </c>
      <c r="C18" s="19" t="s">
        <v>3</v>
      </c>
      <c r="D18" s="43">
        <v>4200</v>
      </c>
      <c r="E18" s="42">
        <v>4</v>
      </c>
      <c r="F18" s="42">
        <f t="shared" si="0"/>
        <v>16800</v>
      </c>
      <c r="G18" s="18" t="s">
        <v>97</v>
      </c>
    </row>
    <row r="19" spans="1:8" ht="48">
      <c r="A19" s="17">
        <v>12</v>
      </c>
      <c r="B19" s="25" t="s">
        <v>45</v>
      </c>
      <c r="C19" s="19" t="s">
        <v>3</v>
      </c>
      <c r="D19" s="43">
        <v>4000</v>
      </c>
      <c r="E19" s="42">
        <v>10</v>
      </c>
      <c r="F19" s="42">
        <f t="shared" si="0"/>
        <v>40000</v>
      </c>
      <c r="G19" s="18" t="s">
        <v>94</v>
      </c>
      <c r="H19" s="60"/>
    </row>
    <row r="20" spans="1:8">
      <c r="A20" s="109"/>
      <c r="B20" s="110" t="s">
        <v>46</v>
      </c>
      <c r="C20" s="109"/>
      <c r="D20" s="111"/>
      <c r="E20" s="111"/>
      <c r="F20" s="112">
        <f>SUM(F12:F19)</f>
        <v>334000</v>
      </c>
      <c r="G20" s="109"/>
    </row>
    <row r="21" spans="1:8">
      <c r="A21" s="68"/>
      <c r="B21" s="69"/>
      <c r="C21" s="70"/>
      <c r="D21" s="71"/>
      <c r="E21" s="72"/>
      <c r="F21" s="72"/>
      <c r="G21" s="73"/>
    </row>
    <row r="22" spans="1:8" ht="17">
      <c r="A22" s="120" t="s">
        <v>63</v>
      </c>
      <c r="B22" s="121" t="s">
        <v>47</v>
      </c>
      <c r="C22" s="19"/>
      <c r="D22" s="43"/>
      <c r="E22" s="42"/>
      <c r="F22" s="42"/>
      <c r="G22" s="18"/>
    </row>
    <row r="23" spans="1:8" ht="80">
      <c r="A23" s="17">
        <v>13</v>
      </c>
      <c r="B23" s="25" t="s">
        <v>48</v>
      </c>
      <c r="C23" s="19" t="s">
        <v>3</v>
      </c>
      <c r="D23" s="43">
        <v>49500</v>
      </c>
      <c r="E23" s="42">
        <v>5</v>
      </c>
      <c r="F23" s="42">
        <f t="shared" si="0"/>
        <v>247500</v>
      </c>
      <c r="G23" s="18" t="s">
        <v>94</v>
      </c>
      <c r="H23" s="60"/>
    </row>
    <row r="24" spans="1:8" ht="64">
      <c r="A24" s="17">
        <v>14</v>
      </c>
      <c r="B24" s="25" t="s">
        <v>49</v>
      </c>
      <c r="C24" s="19" t="s">
        <v>3</v>
      </c>
      <c r="D24" s="43">
        <v>52000</v>
      </c>
      <c r="E24" s="42">
        <v>1</v>
      </c>
      <c r="F24" s="42">
        <f t="shared" si="0"/>
        <v>52000</v>
      </c>
      <c r="G24" s="18" t="s">
        <v>96</v>
      </c>
      <c r="H24" s="38"/>
    </row>
    <row r="25" spans="1:8">
      <c r="A25" s="109"/>
      <c r="B25" s="110" t="s">
        <v>50</v>
      </c>
      <c r="C25" s="109"/>
      <c r="D25" s="111"/>
      <c r="E25" s="111"/>
      <c r="F25" s="112">
        <f>SUM(F23:F24)</f>
        <v>299500</v>
      </c>
      <c r="G25" s="109"/>
    </row>
  </sheetData>
  <mergeCells count="1">
    <mergeCell ref="A2:G2"/>
  </mergeCells>
  <phoneticPr fontId="108" type="noConversion"/>
  <pageMargins left="0.25" right="0.25" top="0.75" bottom="0.75" header="0.3" footer="0.3"/>
  <pageSetup paperSize="9" scale="56"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0C7F4-8CB1-442D-B378-EA709D53D171}">
  <sheetPr transitionEvaluation="1" transitionEntry="1">
    <pageSetUpPr fitToPage="1"/>
  </sheetPr>
  <dimension ref="A2:G7"/>
  <sheetViews>
    <sheetView view="pageBreakPreview" zoomScale="80" zoomScaleNormal="80" zoomScaleSheetLayoutView="80" workbookViewId="0">
      <selection activeCell="G15" sqref="G15"/>
    </sheetView>
  </sheetViews>
  <sheetFormatPr baseColWidth="10" defaultColWidth="9.1640625" defaultRowHeight="16"/>
  <cols>
    <col min="1" max="1" width="9.5" style="5" customWidth="1"/>
    <col min="2" max="2" width="58.1640625" style="20" customWidth="1"/>
    <col min="3" max="3" width="7.1640625" style="21" customWidth="1"/>
    <col min="4" max="4" width="14.5" style="46" bestFit="1" customWidth="1"/>
    <col min="5" max="5" width="13.1640625" style="47" bestFit="1" customWidth="1"/>
    <col min="6" max="6" width="18" style="47" bestFit="1" customWidth="1"/>
    <col min="7" max="7" width="43" style="22" customWidth="1"/>
    <col min="8" max="8" width="53.83203125" style="20" customWidth="1"/>
    <col min="9" max="16384" width="9.1640625" style="20"/>
  </cols>
  <sheetData>
    <row r="2" spans="1:7" s="27" customFormat="1" ht="21">
      <c r="A2" s="129" t="s">
        <v>88</v>
      </c>
      <c r="B2" s="130"/>
      <c r="C2" s="130"/>
      <c r="D2" s="130"/>
      <c r="E2" s="130"/>
      <c r="F2" s="130"/>
      <c r="G2" s="131"/>
    </row>
    <row r="3" spans="1:7" s="27" customFormat="1" ht="19">
      <c r="A3" s="113" t="s">
        <v>9</v>
      </c>
      <c r="B3" s="114" t="s">
        <v>10</v>
      </c>
      <c r="C3" s="119" t="s">
        <v>1</v>
      </c>
      <c r="D3" s="116" t="s">
        <v>2</v>
      </c>
      <c r="E3" s="116" t="s">
        <v>5</v>
      </c>
      <c r="F3" s="117" t="s">
        <v>4</v>
      </c>
      <c r="G3" s="118" t="s">
        <v>13</v>
      </c>
    </row>
    <row r="4" spans="1:7" ht="17">
      <c r="A4" s="120"/>
      <c r="B4" s="121" t="s">
        <v>8</v>
      </c>
      <c r="C4" s="19"/>
      <c r="D4" s="43"/>
      <c r="E4" s="42"/>
      <c r="F4" s="42"/>
      <c r="G4" s="18"/>
    </row>
    <row r="5" spans="1:7" ht="48">
      <c r="A5" s="17">
        <v>1</v>
      </c>
      <c r="B5" s="25" t="s">
        <v>95</v>
      </c>
      <c r="C5" s="19" t="s">
        <v>3</v>
      </c>
      <c r="D5" s="43">
        <v>2800</v>
      </c>
      <c r="E5" s="42">
        <v>24</v>
      </c>
      <c r="F5" s="42">
        <f>E5*D5</f>
        <v>67200</v>
      </c>
      <c r="G5" s="18"/>
    </row>
    <row r="6" spans="1:7" ht="128">
      <c r="A6" s="17">
        <v>2</v>
      </c>
      <c r="B6" s="25" t="s">
        <v>57</v>
      </c>
      <c r="C6" s="19" t="s">
        <v>52</v>
      </c>
      <c r="D6" s="43">
        <v>64090</v>
      </c>
      <c r="E6" s="42">
        <v>1</v>
      </c>
      <c r="F6" s="42">
        <f>E6*D6</f>
        <v>64090</v>
      </c>
      <c r="G6" s="18"/>
    </row>
    <row r="7" spans="1:7">
      <c r="A7" s="109"/>
      <c r="B7" s="110" t="s">
        <v>58</v>
      </c>
      <c r="C7" s="109"/>
      <c r="D7" s="111"/>
      <c r="E7" s="111"/>
      <c r="F7" s="112">
        <f>SUM(F5:F6)</f>
        <v>131290</v>
      </c>
      <c r="G7" s="109"/>
    </row>
  </sheetData>
  <mergeCells count="1">
    <mergeCell ref="A2:G2"/>
  </mergeCells>
  <pageMargins left="0.25" right="0.25" top="0.75" bottom="0.75" header="0.3" footer="0.3"/>
  <pageSetup paperSize="9" scale="56"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2EAE3-A0AB-44BE-B5C4-DFD968390232}">
  <sheetPr transitionEvaluation="1" transitionEntry="1">
    <pageSetUpPr fitToPage="1"/>
  </sheetPr>
  <dimension ref="A2:G7"/>
  <sheetViews>
    <sheetView view="pageBreakPreview" zoomScale="80" zoomScaleNormal="80" zoomScaleSheetLayoutView="80" workbookViewId="0">
      <selection activeCell="G6" sqref="G6"/>
    </sheetView>
  </sheetViews>
  <sheetFormatPr baseColWidth="10" defaultColWidth="9.1640625" defaultRowHeight="16"/>
  <cols>
    <col min="1" max="1" width="9.5" style="5" customWidth="1"/>
    <col min="2" max="2" width="58.1640625" style="20" customWidth="1"/>
    <col min="3" max="3" width="7.1640625" style="21" customWidth="1"/>
    <col min="4" max="4" width="14.5" style="46" bestFit="1" customWidth="1"/>
    <col min="5" max="5" width="13.1640625" style="47" bestFit="1" customWidth="1"/>
    <col min="6" max="6" width="18" style="47" bestFit="1" customWidth="1"/>
    <col min="7" max="7" width="43" style="22" customWidth="1"/>
    <col min="8" max="8" width="53.83203125" style="20" customWidth="1"/>
    <col min="9" max="16384" width="9.1640625" style="20"/>
  </cols>
  <sheetData>
    <row r="2" spans="1:7" s="27" customFormat="1" ht="21">
      <c r="A2" s="129" t="s">
        <v>89</v>
      </c>
      <c r="B2" s="130"/>
      <c r="C2" s="130"/>
      <c r="D2" s="130"/>
      <c r="E2" s="130"/>
      <c r="F2" s="130"/>
      <c r="G2" s="131"/>
    </row>
    <row r="3" spans="1:7" s="27" customFormat="1" ht="19">
      <c r="A3" s="113" t="s">
        <v>9</v>
      </c>
      <c r="B3" s="114" t="s">
        <v>10</v>
      </c>
      <c r="C3" s="119" t="s">
        <v>1</v>
      </c>
      <c r="D3" s="116" t="s">
        <v>2</v>
      </c>
      <c r="E3" s="116" t="s">
        <v>5</v>
      </c>
      <c r="F3" s="117" t="s">
        <v>4</v>
      </c>
      <c r="G3" s="118" t="s">
        <v>13</v>
      </c>
    </row>
    <row r="4" spans="1:7" ht="17">
      <c r="A4" s="120"/>
      <c r="B4" s="121" t="s">
        <v>53</v>
      </c>
      <c r="C4" s="19"/>
      <c r="D4" s="43"/>
      <c r="E4" s="42"/>
      <c r="F4" s="42"/>
      <c r="G4" s="18"/>
    </row>
    <row r="5" spans="1:7" ht="112">
      <c r="A5" s="17">
        <v>1</v>
      </c>
      <c r="B5" s="25" t="s">
        <v>54</v>
      </c>
      <c r="C5" s="9" t="s">
        <v>11</v>
      </c>
      <c r="D5" s="43">
        <v>125</v>
      </c>
      <c r="E5" s="42">
        <v>701</v>
      </c>
      <c r="F5" s="42">
        <f>E5*D5</f>
        <v>87625</v>
      </c>
      <c r="G5" s="18"/>
    </row>
    <row r="6" spans="1:7" ht="96">
      <c r="A6" s="17">
        <v>2</v>
      </c>
      <c r="B6" s="25" t="s">
        <v>55</v>
      </c>
      <c r="C6" s="19" t="s">
        <v>3</v>
      </c>
      <c r="D6" s="43">
        <v>198500</v>
      </c>
      <c r="E6" s="42">
        <v>1</v>
      </c>
      <c r="F6" s="42">
        <f>E6*D6</f>
        <v>198500</v>
      </c>
      <c r="G6" s="18"/>
    </row>
    <row r="7" spans="1:7">
      <c r="A7" s="109"/>
      <c r="B7" s="110" t="s">
        <v>56</v>
      </c>
      <c r="C7" s="109"/>
      <c r="D7" s="111"/>
      <c r="E7" s="111"/>
      <c r="F7" s="112">
        <f>SUM(F5:F6)</f>
        <v>286125</v>
      </c>
      <c r="G7" s="109"/>
    </row>
  </sheetData>
  <mergeCells count="1">
    <mergeCell ref="A2:G2"/>
  </mergeCells>
  <pageMargins left="0.25" right="0.25" top="0.75" bottom="0.75" header="0.3" footer="0.3"/>
  <pageSetup paperSize="9" scale="5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Summary</vt:lpstr>
      <vt:lpstr>A_Dismanteling Works</vt:lpstr>
      <vt:lpstr>B_Civil &amp; Interior Works</vt:lpstr>
      <vt:lpstr>C_HVAC Works</vt:lpstr>
      <vt:lpstr>D_Appliances &amp; Furniture Works</vt:lpstr>
      <vt:lpstr>E_Electrical Works</vt:lpstr>
      <vt:lpstr>F_Terrace Development Works</vt:lpstr>
      <vt:lpstr>'A_Dismanteling Works'!Print_Area</vt:lpstr>
      <vt:lpstr>'B_Civil &amp; Interior Works'!Print_Area</vt:lpstr>
      <vt:lpstr>'C_HVAC Works'!Print_Area</vt:lpstr>
      <vt:lpstr>'D_Appliances &amp; Furniture Works'!Print_Area</vt:lpstr>
      <vt:lpstr>'E_Electrical Works'!Print_Area</vt:lpstr>
      <vt:lpstr>'F_Terrace Development Works'!Print_Area</vt:lpstr>
      <vt:lpstr>'D_Appliances &amp; Furniture Works'!Print_Titles</vt:lpstr>
      <vt:lpstr>'E_Electrical Works'!Print_Titles</vt:lpstr>
      <vt:lpstr>'F_Terrace Development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NM;SN</dc:creator>
  <cp:lastModifiedBy>Ved Paandey</cp:lastModifiedBy>
  <cp:lastPrinted>2026-02-20T05:28:04Z</cp:lastPrinted>
  <dcterms:created xsi:type="dcterms:W3CDTF">2014-07-05T16:05:00Z</dcterms:created>
  <dcterms:modified xsi:type="dcterms:W3CDTF">2026-03-13T04:10:09Z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1033-9.1.0.4746</vt:lpwstr>
  </property>
</Properties>
</file>